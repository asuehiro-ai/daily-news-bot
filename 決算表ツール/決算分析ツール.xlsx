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J:\共有ドライブ\LEG\４．担当者フォルダ\１．末廣フォルダ\★クロードコード用\決算表ツール\"/>
    </mc:Choice>
  </mc:AlternateContent>
  <xr:revisionPtr revIDLastSave="0" documentId="13_ncr:1_{6AA707CA-8EA8-47D5-A3E1-D24E88200B51}" xr6:coauthVersionLast="47" xr6:coauthVersionMax="47" xr10:uidLastSave="{00000000-0000-0000-0000-000000000000}"/>
  <bookViews>
    <workbookView xWindow="28680" yWindow="-120" windowWidth="38640" windowHeight="21120" activeTab="3" xr2:uid="{00000000-000D-0000-FFFF-FFFF00000000}"/>
  </bookViews>
  <sheets>
    <sheet name="貸借対照表" sheetId="1" r:id="rId1"/>
    <sheet name="損益計算書" sheetId="2" r:id="rId2"/>
    <sheet name="販売費及び一般管理費" sheetId="3" r:id="rId3"/>
    <sheet name="業界平均比較・アラート" sheetId="4" r:id="rId4"/>
    <sheet name="企業価値算定（修正前）" sheetId="5" r:id="rId5"/>
    <sheet name="企業価値算定（修正後）" sheetId="6" r:id="rId6"/>
    <sheet name="業界データ" sheetId="7" state="hidden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6" l="1"/>
  <c r="C18" i="6"/>
  <c r="B14" i="5"/>
  <c r="B13" i="5"/>
  <c r="B12" i="5"/>
  <c r="B11" i="5"/>
  <c r="C37" i="5" s="1"/>
  <c r="B10" i="5"/>
  <c r="D35" i="5" s="1"/>
  <c r="B9" i="5"/>
  <c r="B8" i="5"/>
  <c r="C36" i="5" s="1"/>
  <c r="B7" i="5"/>
  <c r="C17" i="6" s="1"/>
  <c r="C19" i="6" s="1"/>
  <c r="C23" i="6" s="1"/>
  <c r="C30" i="6" s="1"/>
  <c r="B6" i="5"/>
  <c r="B16" i="5" s="1"/>
  <c r="C33" i="5" s="1"/>
  <c r="B5" i="5"/>
  <c r="B4" i="5"/>
  <c r="C31" i="6" s="1"/>
  <c r="E30" i="4"/>
  <c r="D30" i="4"/>
  <c r="C30" i="4"/>
  <c r="E29" i="4"/>
  <c r="D29" i="4"/>
  <c r="C29" i="4"/>
  <c r="E28" i="4"/>
  <c r="D28" i="4"/>
  <c r="C28" i="4"/>
  <c r="E27" i="4"/>
  <c r="D27" i="4"/>
  <c r="C27" i="4"/>
  <c r="E26" i="4"/>
  <c r="D26" i="4"/>
  <c r="C26" i="4"/>
  <c r="E25" i="4"/>
  <c r="D25" i="4"/>
  <c r="C25" i="4"/>
  <c r="E24" i="4"/>
  <c r="D24" i="4"/>
  <c r="C24" i="4"/>
  <c r="F21" i="4"/>
  <c r="E21" i="4"/>
  <c r="G21" i="4" s="1"/>
  <c r="D20" i="4"/>
  <c r="G20" i="4" s="1"/>
  <c r="F17" i="4"/>
  <c r="E17" i="4"/>
  <c r="G17" i="4" s="1"/>
  <c r="D17" i="4"/>
  <c r="C17" i="4"/>
  <c r="F16" i="4"/>
  <c r="E16" i="4"/>
  <c r="D16" i="4"/>
  <c r="C16" i="4"/>
  <c r="F15" i="4"/>
  <c r="E15" i="4"/>
  <c r="G15" i="4" s="1"/>
  <c r="D15" i="4"/>
  <c r="C15" i="4"/>
  <c r="F14" i="4"/>
  <c r="E14" i="4"/>
  <c r="D14" i="4"/>
  <c r="C14" i="4"/>
  <c r="F13" i="4"/>
  <c r="E13" i="4"/>
  <c r="D13" i="4"/>
  <c r="C13" i="4"/>
  <c r="F10" i="4"/>
  <c r="E10" i="4"/>
  <c r="D10" i="4"/>
  <c r="C10" i="4"/>
  <c r="F9" i="4"/>
  <c r="E9" i="4"/>
  <c r="D9" i="4"/>
  <c r="C9" i="4"/>
  <c r="F8" i="4"/>
  <c r="E8" i="4"/>
  <c r="D8" i="4"/>
  <c r="C8" i="4"/>
  <c r="F7" i="4"/>
  <c r="E7" i="4"/>
  <c r="G7" i="4" s="1"/>
  <c r="D7" i="4"/>
  <c r="C7" i="4"/>
  <c r="F6" i="4"/>
  <c r="E6" i="4"/>
  <c r="D6" i="4"/>
  <c r="C6" i="4"/>
  <c r="G9" i="4" l="1"/>
  <c r="G16" i="4"/>
  <c r="G10" i="4"/>
  <c r="I10" i="4" s="1"/>
  <c r="G13" i="4"/>
  <c r="G14" i="4"/>
  <c r="C34" i="5"/>
  <c r="B17" i="5"/>
  <c r="C24" i="6" s="1"/>
  <c r="D31" i="6" s="1"/>
  <c r="D33" i="5"/>
  <c r="C35" i="5"/>
  <c r="I20" i="4"/>
  <c r="H20" i="4"/>
  <c r="I21" i="4"/>
  <c r="H21" i="4"/>
  <c r="I6" i="4"/>
  <c r="I13" i="4"/>
  <c r="H7" i="4"/>
  <c r="H14" i="4"/>
  <c r="I15" i="4"/>
  <c r="I9" i="4"/>
  <c r="I16" i="4"/>
  <c r="I17" i="4"/>
  <c r="G8" i="4"/>
  <c r="H8" i="4" s="1"/>
  <c r="H13" i="4"/>
  <c r="G6" i="4"/>
  <c r="H6" i="4"/>
  <c r="H9" i="4"/>
  <c r="I14" i="4"/>
  <c r="I7" i="4"/>
  <c r="H10" i="4"/>
  <c r="C31" i="5"/>
  <c r="D31" i="5" s="1"/>
  <c r="C20" i="6"/>
  <c r="C22" i="6" s="1"/>
  <c r="H15" i="4"/>
  <c r="D37" i="5"/>
  <c r="H17" i="4"/>
  <c r="C32" i="5"/>
  <c r="H16" i="4"/>
  <c r="D30" i="6" l="1"/>
  <c r="E30" i="6" s="1"/>
  <c r="D36" i="5"/>
  <c r="D34" i="5"/>
  <c r="E31" i="6" s="1"/>
  <c r="D32" i="5"/>
  <c r="C37" i="6" s="1"/>
  <c r="I8" i="4"/>
  <c r="C29" i="6"/>
  <c r="D29" i="6" s="1"/>
  <c r="E29" i="6" s="1"/>
  <c r="D32" i="6"/>
  <c r="D33" i="6"/>
  <c r="E33" i="6" s="1"/>
  <c r="C33" i="6"/>
  <c r="C28" i="6"/>
  <c r="D28" i="6" s="1"/>
  <c r="C38" i="6"/>
  <c r="B42" i="5"/>
  <c r="B41" i="5"/>
  <c r="B43" i="5" s="1"/>
  <c r="B37" i="6" l="1"/>
  <c r="E28" i="6"/>
  <c r="B38" i="6"/>
  <c r="D38" i="6" s="1"/>
  <c r="E32" i="6"/>
  <c r="C32" i="6"/>
  <c r="B39" i="6" l="1"/>
  <c r="D37" i="6"/>
</calcChain>
</file>

<file path=xl/sharedStrings.xml><?xml version="1.0" encoding="utf-8"?>
<sst xmlns="http://schemas.openxmlformats.org/spreadsheetml/2006/main" count="415" uniqueCount="307">
  <si>
    <t>貸借対照表　（単位：千円）</t>
  </si>
  <si>
    <t>【凡例】緑=合計（確定）/ 水色=小計（確定）/ 黄色=自動入力（要確認・科目名を修正してください）/ 灰色=未入力（手動入力）</t>
  </si>
  <si>
    <t>科目</t>
  </si>
  <si>
    <t>KAISEI第5期2023年7月期決算報告書</t>
  </si>
  <si>
    <t>KAISEI第6期2024年7月期決算報告書</t>
  </si>
  <si>
    <t>KAISEI第7期2025年7月期決算報告書</t>
  </si>
  <si>
    <t>増減額
(2→3期)</t>
  </si>
  <si>
    <t>増減率
(2→3期)</t>
  </si>
  <si>
    <t>【流動資産】</t>
  </si>
  <si>
    <t>現金及び預金</t>
  </si>
  <si>
    <t>受取手形</t>
  </si>
  <si>
    <t>売掛金</t>
  </si>
  <si>
    <t>商品・製品</t>
  </si>
  <si>
    <t>仕掛品</t>
  </si>
  <si>
    <t>原材料・貯蔵品</t>
  </si>
  <si>
    <t>前払費用</t>
  </si>
  <si>
    <t>未収入金</t>
  </si>
  <si>
    <t>その他流動資産</t>
  </si>
  <si>
    <t>流動資産合計</t>
  </si>
  <si>
    <t>【固定資産】</t>
  </si>
  <si>
    <t>有形固定資産計</t>
  </si>
  <si>
    <t>　建物・構築物</t>
  </si>
  <si>
    <t>　機械及び装置</t>
  </si>
  <si>
    <t>　車両運搬具</t>
  </si>
  <si>
    <t>　工具器具備品</t>
  </si>
  <si>
    <t>　土地</t>
  </si>
  <si>
    <t>　減価償却累計額</t>
  </si>
  <si>
    <t>無形固定資産合計</t>
  </si>
  <si>
    <t>投資その他の資産合計</t>
  </si>
  <si>
    <t>　敷金・保証金</t>
  </si>
  <si>
    <t>　繰延税金資産</t>
  </si>
  <si>
    <t>　その他投資資産</t>
  </si>
  <si>
    <t>固定資産合計</t>
  </si>
  <si>
    <t>資産合計</t>
  </si>
  <si>
    <t>【流動負債】</t>
  </si>
  <si>
    <t>支払手形</t>
  </si>
  <si>
    <t>買掛金</t>
  </si>
  <si>
    <t>短期借入金</t>
  </si>
  <si>
    <t>1年内返済長期借入金</t>
  </si>
  <si>
    <t>未払金</t>
  </si>
  <si>
    <t>未払費用</t>
  </si>
  <si>
    <t>未払法人税等</t>
  </si>
  <si>
    <t>前受金</t>
  </si>
  <si>
    <t>預り金</t>
  </si>
  <si>
    <t>賞与引当金</t>
  </si>
  <si>
    <t>その他流動負債</t>
  </si>
  <si>
    <t>流動負債合計</t>
  </si>
  <si>
    <t>【固定負債】</t>
  </si>
  <si>
    <t>長期借入金</t>
  </si>
  <si>
    <t>退職給付引当金</t>
  </si>
  <si>
    <t>その他固定負債</t>
  </si>
  <si>
    <t>固定負債合計</t>
  </si>
  <si>
    <t>負債合計</t>
  </si>
  <si>
    <t>【純資産の部】</t>
  </si>
  <si>
    <t>資本金</t>
  </si>
  <si>
    <t>資本剰余金</t>
  </si>
  <si>
    <t>利益準備金</t>
  </si>
  <si>
    <t>繰越利益剰余金</t>
  </si>
  <si>
    <t>その他利益剰余金</t>
  </si>
  <si>
    <t>利益剰余金合計</t>
  </si>
  <si>
    <t>自己株式</t>
  </si>
  <si>
    <t>株主資本合計</t>
  </si>
  <si>
    <t>その他包括利益累計額合計</t>
  </si>
  <si>
    <t>純資産合計</t>
  </si>
  <si>
    <t>負債・純資産合計</t>
  </si>
  <si>
    <t>損益計算書　（単位：千円）</t>
  </si>
  <si>
    <t>売上高</t>
  </si>
  <si>
    <t>【売上原価】</t>
  </si>
  <si>
    <t>期首棚卸高</t>
  </si>
  <si>
    <t>当期仕入高</t>
  </si>
  <si>
    <t>当期製品製造原価</t>
  </si>
  <si>
    <t>期末棚卸高</t>
  </si>
  <si>
    <t>売上原価合計</t>
  </si>
  <si>
    <t>売上総利益（損失）</t>
  </si>
  <si>
    <t>販売費及び一般管理費合計</t>
  </si>
  <si>
    <t>営業利益（損失）</t>
  </si>
  <si>
    <t>【営業外収益】</t>
  </si>
  <si>
    <t>受取利息・配当金</t>
  </si>
  <si>
    <t>雑収入</t>
  </si>
  <si>
    <t>その他営業外収益</t>
  </si>
  <si>
    <t>営業外収益合計</t>
  </si>
  <si>
    <t>【営業外費用】</t>
  </si>
  <si>
    <t>支払利息・割引料</t>
  </si>
  <si>
    <t>為替差損</t>
  </si>
  <si>
    <t>その他営業外費用</t>
  </si>
  <si>
    <t>営業外費用合計</t>
  </si>
  <si>
    <t>経常利益（損失）</t>
  </si>
  <si>
    <t>【特別利益】</t>
  </si>
  <si>
    <t>固定資産売却益</t>
  </si>
  <si>
    <t>その他特別利益</t>
  </si>
  <si>
    <t>特別利益合計</t>
  </si>
  <si>
    <t>【特別損失】</t>
  </si>
  <si>
    <t>固定資産売却損・廃棄損</t>
  </si>
  <si>
    <t>減損損失</t>
  </si>
  <si>
    <t>その他特別損失</t>
  </si>
  <si>
    <t>特別損失合計</t>
  </si>
  <si>
    <t>税引前当期純利益（損失）</t>
  </si>
  <si>
    <t>法人税等</t>
  </si>
  <si>
    <t>当期純利益（損失）</t>
  </si>
  <si>
    <t>販売費及び一般管理費　（単位：千円）</t>
  </si>
  <si>
    <t>　給料・賞与</t>
  </si>
  <si>
    <t>　法定福利費</t>
  </si>
  <si>
    <t>　福利厚生費</t>
  </si>
  <si>
    <t>　退職給付費用</t>
  </si>
  <si>
    <t>　減価償却費</t>
  </si>
  <si>
    <t>　租税公課</t>
  </si>
  <si>
    <t>　賃借料</t>
  </si>
  <si>
    <t>　賞与引当金繰入</t>
  </si>
  <si>
    <t>　旅費交通費</t>
  </si>
  <si>
    <t>　広告宣伝費</t>
  </si>
  <si>
    <t>　販売促進費</t>
  </si>
  <si>
    <t>　発送配達費</t>
  </si>
  <si>
    <t>　車両費</t>
  </si>
  <si>
    <t>　業務委託費</t>
  </si>
  <si>
    <t>　支払手数料</t>
  </si>
  <si>
    <t>　リース料</t>
  </si>
  <si>
    <t>　地代家賃</t>
  </si>
  <si>
    <t>　事務用消耗品費</t>
  </si>
  <si>
    <t>　通信費</t>
  </si>
  <si>
    <t>　水道光熱費</t>
  </si>
  <si>
    <t>　寄付金</t>
  </si>
  <si>
    <t>　接待交際費</t>
  </si>
  <si>
    <t>　保険料</t>
  </si>
  <si>
    <t>　備品消耗品費</t>
  </si>
  <si>
    <t>　管理諸費</t>
  </si>
  <si>
    <t>　会議費</t>
  </si>
  <si>
    <t>　研究開発費</t>
  </si>
  <si>
    <t>　その他販管費</t>
  </si>
  <si>
    <t>業界平均比較・財務アラート</t>
  </si>
  <si>
    <t>【業種選択】</t>
  </si>
  <si>
    <t>IT・情報通信</t>
  </si>
  <si>
    <t>← ここで業種を選択してください</t>
  </si>
  <si>
    <t>【判定凡例】</t>
  </si>
  <si>
    <t>● 要注意（業界平均と20%超乖離）</t>
  </si>
  <si>
    <t>△ 注意（業界平均と10%超乖離）</t>
  </si>
  <si>
    <t>○ 正常範囲</t>
  </si>
  <si>
    <t>─ データなし</t>
  </si>
  <si>
    <t>指標名</t>
  </si>
  <si>
    <t>計算式</t>
  </si>
  <si>
    <t>第1期実績</t>
  </si>
  <si>
    <t>第2期実績</t>
  </si>
  <si>
    <t>第3期実績</t>
  </si>
  <si>
    <t>業界平均</t>
  </si>
  <si>
    <t>差異(3期-平均)</t>
  </si>
  <si>
    <t>判定</t>
  </si>
  <si>
    <t>コメント</t>
  </si>
  <si>
    <t>【収益性分析】</t>
  </si>
  <si>
    <t>売上総利益率</t>
  </si>
  <si>
    <t>売上総利益 ÷ 売上高</t>
  </si>
  <si>
    <t>営業利益率</t>
  </si>
  <si>
    <t>営業利益 ÷ 売上高</t>
  </si>
  <si>
    <t>経常利益率</t>
  </si>
  <si>
    <t>経常利益 ÷ 売上高</t>
  </si>
  <si>
    <t>純利益率</t>
  </si>
  <si>
    <t>当期純利益 ÷ 売上高</t>
  </si>
  <si>
    <t>人件費率</t>
  </si>
  <si>
    <t>給料賞与 ÷ 売上高</t>
  </si>
  <si>
    <t>【安全性分析】</t>
  </si>
  <si>
    <t>自己資本比率</t>
  </si>
  <si>
    <t>純資産 ÷ 資産合計</t>
  </si>
  <si>
    <t>流動比率</t>
  </si>
  <si>
    <t>流動資産 ÷ 流動負債</t>
  </si>
  <si>
    <t>固定比率</t>
  </si>
  <si>
    <t>固定資産 ÷ 純資産</t>
  </si>
  <si>
    <t>ROA</t>
  </si>
  <si>
    <t>経常利益 ÷ 資産合計</t>
  </si>
  <si>
    <t>ROE</t>
  </si>
  <si>
    <t>当期純利益 ÷ 純資産</t>
  </si>
  <si>
    <t>【成長性分析】</t>
  </si>
  <si>
    <t>売上高成長率（1→2期）</t>
  </si>
  <si>
    <t>(第2期売上高 - 第1期売上高) ÷ 第1期売上高</t>
  </si>
  <si>
    <t>─</t>
  </si>
  <si>
    <t>売上高成長率（2→3期）</t>
  </si>
  <si>
    <t>(第3期売上高 - 第2期売上高) ÷ 第2期売上高</t>
  </si>
  <si>
    <t>【主要財務数値（千円）】</t>
  </si>
  <si>
    <t>（参照）</t>
  </si>
  <si>
    <t>売上総利益</t>
  </si>
  <si>
    <t>営業利益</t>
  </si>
  <si>
    <t>経常利益</t>
  </si>
  <si>
    <t>当期純利益</t>
  </si>
  <si>
    <t>純資産</t>
  </si>
  <si>
    <t>【注記】
・業界平均値は中小企業庁データ等をもとにした参考値です。実際の業界平均と異なる場合があります。
・差異の判定は「第3期実績 - 業界平均」で算出。利益率は高いほど良く、人件費率・固定比率は低いほど良い傾向です。
・データが未入力の期は空欄になります。第3期（最新期）への入力が完了すると全指標が算出されます。</t>
  </si>
  <si>
    <t>企業価値算定（修正前）　※帳簿値そのまま使用</t>
  </si>
  <si>
    <t>単位：千円　　対象期：最新期（第3期）</t>
  </si>
  <si>
    <t>【基礎財務データ（3期比較表より自動取得）】</t>
  </si>
  <si>
    <t>損益計算書より</t>
  </si>
  <si>
    <t>減価償却費</t>
  </si>
  <si>
    <t>販管費内の減価償却費</t>
  </si>
  <si>
    <t>純資産（簿価）</t>
  </si>
  <si>
    <t>貸借対照表より</t>
  </si>
  <si>
    <t>EBITDA（営業利益 + 減価償却費）</t>
  </si>
  <si>
    <t>※売上原価内の減価償却費は別途確認</t>
  </si>
  <si>
    <t>有利子負債合計</t>
  </si>
  <si>
    <t>※実際は有利子負債のみで計算（借入金等）</t>
  </si>
  <si>
    <t>実効税率（入力）</t>
  </si>
  <si>
    <t>黄色セルは変更可能（デフォルト30%）</t>
  </si>
  <si>
    <t>【評価マルチプル（変更可能）】</t>
  </si>
  <si>
    <t>評価手法</t>
  </si>
  <si>
    <t>マルチプル</t>
  </si>
  <si>
    <t>根拠・出典</t>
  </si>
  <si>
    <t>年買法　係数（低）</t>
  </si>
  <si>
    <t>2年分の利益（保守的）</t>
  </si>
  <si>
    <t>年買法　係数（高）</t>
  </si>
  <si>
    <t>4年分の利益（楽観的）</t>
  </si>
  <si>
    <t>EV/EBITDA倍率</t>
  </si>
  <si>
    <t>IT業界中央値（yfinance参照）</t>
  </si>
  <si>
    <t>EV/売上高倍率</t>
  </si>
  <si>
    <t>PBR倍率</t>
  </si>
  <si>
    <t>PER倍率</t>
  </si>
  <si>
    <t>【各評価手法による企業価値算定（千円）】</t>
  </si>
  <si>
    <t>算出根拠</t>
  </si>
  <si>
    <t>事業価値(EV)</t>
  </si>
  <si>
    <t>株主価値(EQ)</t>
  </si>
  <si>
    <t>備考</t>
  </si>
  <si>
    <t>①年倍法（保守的・2年）</t>
  </si>
  <si>
    <t>修正純資産 + 経常利益×2年</t>
  </si>
  <si>
    <t>②年倍法（楽観的・4年）</t>
  </si>
  <si>
    <t>修正純資産 + 経常利益×4年</t>
  </si>
  <si>
    <t>③EV/EBITDA法</t>
  </si>
  <si>
    <t>EBITDA × 12.17倍</t>
  </si>
  <si>
    <t>④EV/売上高法</t>
  </si>
  <si>
    <t>売上高 × 2.16倍</t>
  </si>
  <si>
    <t>⑤PBR法（株主価値ベース）</t>
  </si>
  <si>
    <t>純資産 × 2.87倍</t>
  </si>
  <si>
    <t>⑥PER法</t>
  </si>
  <si>
    <t>当期純利益 × 23.42倍 + 有利子負債</t>
  </si>
  <si>
    <t>⑦純資産法（簿価）</t>
  </si>
  <si>
    <t>資産合計 - 負債合計</t>
  </si>
  <si>
    <t>【評価レンジまとめ（株主価値ベース、千円）】</t>
  </si>
  <si>
    <t>指標</t>
  </si>
  <si>
    <t>金額（千円）</t>
  </si>
  <si>
    <t>年買法（低）</t>
  </si>
  <si>
    <t>年買法（高）</t>
  </si>
  <si>
    <t>EV/EBITDA</t>
  </si>
  <si>
    <t>EV/売上高</t>
  </si>
  <si>
    <t>株主価値（最小）</t>
  </si>
  <si>
    <t>各手法の最小値</t>
  </si>
  <si>
    <t>株主価値（最大）</t>
  </si>
  <si>
    <t>各手法の最大値</t>
  </si>
  <si>
    <t>推定評価レンジ</t>
  </si>
  <si>
    <t>【注記】
・本算定は帳簿値（修正前）を使用しています。役員報酬の正常化・一時的損益の除外等の調整は「修正後」シートで行ってください。
・有利子負債は全負債で代替しています。実際は借入金・社債等の有利子負債のみで計算してください。
・マルチプルはIT業界上場会社の中央値（yfinance参照）を初期値としています。業種・規模に合わせて変更してください。
・PER法・EV/EBITDA法は赤字の場合参考値となりません。年買法・純資産法を主軸に評価することを推奨します。
・株主価値 = 事業価値(EV) - 有利子負債。EV = 事業に帰属する価値の総計。</t>
  </si>
  <si>
    <t>企業価値算定（修正後）　※財務数値を正常化して算定</t>
  </si>
  <si>
    <t>単位：千円　　黄色セルに調整額を入力してください（プラス＝利益増加・資産増加、マイナス＝利益減少・資産減少）</t>
  </si>
  <si>
    <t>【修正項目入力（黄色セルに調整額を入力）】</t>
  </si>
  <si>
    <t>修正項目</t>
  </si>
  <si>
    <t>修正内容・理由</t>
  </si>
  <si>
    <t>調整額（千円）</t>
  </si>
  <si>
    <t>対象</t>
  </si>
  <si>
    <t>①役員報酬の正常化（利益調整）</t>
  </si>
  <si>
    <t>現役員報酬 - 同業他社適正水準（例: 過大報酬分を除外し利益を増加）</t>
  </si>
  <si>
    <t>経常利益に加算</t>
  </si>
  <si>
    <t>②オーナー家族への支払調整（利益）</t>
  </si>
  <si>
    <t>過大な家族役員報酬・地代家賃等の正常化</t>
  </si>
  <si>
    <t>③一時的費用の除外（利益）</t>
  </si>
  <si>
    <t>再発しない特別費用（訴訟・災害・事業整理等）の除外</t>
  </si>
  <si>
    <t>④一時的収益の除外（利益）</t>
  </si>
  <si>
    <t>再発しない特別収益（資産売却・補助金等）の除外</t>
  </si>
  <si>
    <t>経常利益に減算</t>
  </si>
  <si>
    <t>⑤役員退職慰労引当等（利益）</t>
  </si>
  <si>
    <t>過去分の引当超過や未引当調整</t>
  </si>
  <si>
    <t>経常利益に加減算</t>
  </si>
  <si>
    <t>⑥その他利益調整</t>
  </si>
  <si>
    <t>上記以外の利益正常化調整</t>
  </si>
  <si>
    <t>⑦非事業用資産の除外（純資産）</t>
  </si>
  <si>
    <t>役員個人的保険・遊休資産・投資有価証券等</t>
  </si>
  <si>
    <t>純資産から除外（減算）</t>
  </si>
  <si>
    <t>⑧含み損益の反映（純資産）</t>
  </si>
  <si>
    <t>不動産・有価証券の時価と簿価の差額</t>
  </si>
  <si>
    <t>純資産に加算</t>
  </si>
  <si>
    <t>⑨簿外負債の考慮（純資産）</t>
  </si>
  <si>
    <t>未払退職金・リース・保証債務等の簿外負債</t>
  </si>
  <si>
    <t>純資産から控除（減算）</t>
  </si>
  <si>
    <t>⑩その他純資産調整</t>
  </si>
  <si>
    <t>上記以外の純資産正常化調整</t>
  </si>
  <si>
    <t>【修正後財務数値（自動計算）】</t>
  </si>
  <si>
    <t>修正前　経常利益</t>
  </si>
  <si>
    <t>利益調整額合計（①〜⑥）</t>
  </si>
  <si>
    <t>修正後　経常利益</t>
  </si>
  <si>
    <t>修正前　純資産（簿価）</t>
  </si>
  <si>
    <t>純資産調整額合計（⑦〜⑩）</t>
  </si>
  <si>
    <t>修正後　純資産</t>
  </si>
  <si>
    <t>修正後　EBITDA</t>
  </si>
  <si>
    <t>【修正後　各評価手法による企業価値算定（千円）】</t>
  </si>
  <si>
    <t>修正前比較</t>
  </si>
  <si>
    <t>修正純資産 + 修正経常利益×2年</t>
  </si>
  <si>
    <t>修正純資産 + 修正経常利益×4年</t>
  </si>
  <si>
    <t>修正EBITDA × 倍率</t>
  </si>
  <si>
    <t>売上高 × 倍率（売上は修正不要）</t>
  </si>
  <si>
    <t>修正純資産 × PBR</t>
  </si>
  <si>
    <t>⑦純資産法（修正後）</t>
  </si>
  <si>
    <t>修正純資産</t>
  </si>
  <si>
    <t>【修正後　評価レンジまとめ（株主価値ベース、千円）】</t>
  </si>
  <si>
    <t>修正後（千円）</t>
  </si>
  <si>
    <t>修正前（千円）</t>
  </si>
  <si>
    <t>差異（千円）</t>
  </si>
  <si>
    <t>推定評価レンジ（修正後）</t>
  </si>
  <si>
    <t>【修正項目の考え方】
①役員報酬の正常化: 現役員報酬が同業他社水準より過大な場合、差額分を利益に戻す（利益=増加→プラス入力）
②家族への過大支払: オーナー家族への過大な役員報酬・地代家賃等を正常化（プラス入力で利益増加）
③④一時的損益: 事業承継後に繰り返さない収益・費用を除外（費用除外→プラス、収益除外→マイナス）
⑦非事業用資産: 事業に不要な資産（役員保険積立金等）を除外（マイナス入力で純資産減少）
⑧含み損益: 不動産や有価証券の時価と簿価の差（含み益→プラス、含み損→マイナス）
⑨簿外負債: 未払退職金・保証債務等（マイナス入力で純資産減少）</t>
  </si>
  <si>
    <t>業種</t>
  </si>
  <si>
    <t>PBR</t>
  </si>
  <si>
    <t>PER</t>
  </si>
  <si>
    <t>サービス業</t>
  </si>
  <si>
    <t>製造業</t>
  </si>
  <si>
    <t>卸売業</t>
  </si>
  <si>
    <t>小売業</t>
  </si>
  <si>
    <t>建設業</t>
  </si>
  <si>
    <t>飲食業</t>
  </si>
  <si>
    <t>不動産業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</si>
</sst>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21" x14ac:knownFonts="1">
    <font>
      <sz val="11"/>
      <color theme="1"/>
      <name val="ＭＳ Ｐゴシック"/>
      <family val="2"/>
      <scheme val="minor"/>
    </font>
    <font>
      <b/>
      <sz val="12"/>
      <color rgb="FFFFFFFF"/>
      <name val="ＭＳ Ｐゴシック"/>
      <family val="3"/>
      <charset val="128"/>
    </font>
    <font>
      <i/>
      <sz val="8"/>
      <color rgb="FF666666"/>
      <name val="ＭＳ Ｐゴシック"/>
      <family val="3"/>
      <charset val="128"/>
    </font>
    <font>
      <b/>
      <sz val="10"/>
      <color rgb="FFFFFFFF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i/>
      <sz val="10"/>
      <color rgb="FF000000"/>
      <name val="ＭＳ Ｐゴシック"/>
      <family val="3"/>
      <charset val="128"/>
    </font>
    <font>
      <b/>
      <sz val="10"/>
      <color rgb="FF000000"/>
      <name val="ＭＳ Ｐゴシック"/>
      <family val="3"/>
      <charset val="128"/>
    </font>
    <font>
      <b/>
      <sz val="13"/>
      <color rgb="FFFFFFFF"/>
      <name val="游ゴシック"/>
      <family val="3"/>
      <charset val="128"/>
    </font>
    <font>
      <b/>
      <sz val="9"/>
      <color rgb="FF262626"/>
      <name val="游ゴシック"/>
      <family val="3"/>
      <charset val="128"/>
    </font>
    <font>
      <b/>
      <sz val="9"/>
      <color rgb="FF1F3864"/>
      <name val="游ゴシック"/>
      <family val="3"/>
      <charset val="128"/>
    </font>
    <font>
      <sz val="9"/>
      <color rgb="FF262626"/>
      <name val="游ゴシック"/>
      <family val="3"/>
      <charset val="128"/>
    </font>
    <font>
      <b/>
      <sz val="9"/>
      <color rgb="FF9C0006"/>
      <name val="游ゴシック"/>
      <family val="3"/>
      <charset val="128"/>
    </font>
    <font>
      <b/>
      <sz val="9"/>
      <color rgb="FF7D4706"/>
      <name val="游ゴシック"/>
      <family val="3"/>
      <charset val="128"/>
    </font>
    <font>
      <b/>
      <sz val="9"/>
      <color rgb="FF375623"/>
      <name val="游ゴシック"/>
      <family val="3"/>
      <charset val="128"/>
    </font>
    <font>
      <sz val="9"/>
      <color rgb="FF808080"/>
      <name val="游ゴシック"/>
      <family val="3"/>
      <charset val="128"/>
    </font>
    <font>
      <b/>
      <sz val="9"/>
      <color rgb="FFFFFFFF"/>
      <name val="游ゴシック"/>
      <family val="3"/>
      <charset val="128"/>
    </font>
    <font>
      <sz val="9"/>
      <color rgb="FF888888"/>
      <name val="游ゴシック"/>
      <family val="3"/>
      <charset val="128"/>
    </font>
    <font>
      <sz val="8"/>
      <color rgb="FF595959"/>
      <name val="游ゴシック"/>
      <family val="3"/>
      <charset val="128"/>
    </font>
    <font>
      <b/>
      <sz val="9"/>
      <color rgb="FF1F497D"/>
      <name val="游ゴシック"/>
      <family val="3"/>
      <charset val="128"/>
    </font>
    <font>
      <b/>
      <sz val="10"/>
      <color rgb="FF1F3864"/>
      <name val="游ゴシック"/>
      <family val="3"/>
      <charset val="128"/>
    </font>
    <font>
      <sz val="6"/>
      <name val="ＭＳ Ｐゴシック"/>
      <family val="3"/>
      <charset val="128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4472C4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DDEBF7"/>
      </patternFill>
    </fill>
    <fill>
      <patternFill patternType="solid">
        <fgColor rgb="FFC5E0B4"/>
      </patternFill>
    </fill>
    <fill>
      <patternFill patternType="solid">
        <fgColor rgb="FF1F3864"/>
      </patternFill>
    </fill>
    <fill>
      <patternFill patternType="solid">
        <fgColor rgb="FFFFFDE7"/>
      </patternFill>
    </fill>
    <fill>
      <patternFill patternType="solid">
        <fgColor rgb="FFFAFAFA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BDD7EE"/>
      </patternFill>
    </fill>
    <fill>
      <patternFill patternType="solid">
        <fgColor rgb="FFFFFFFF"/>
      </patternFill>
    </fill>
    <fill>
      <patternFill patternType="solid">
        <fgColor rgb="FFDEEAF1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38" fontId="4" fillId="5" borderId="1" xfId="0" applyNumberFormat="1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left" vertical="center"/>
    </xf>
    <xf numFmtId="38" fontId="6" fillId="7" borderId="1" xfId="0" applyNumberFormat="1" applyFont="1" applyFill="1" applyBorder="1" applyAlignment="1">
      <alignment horizontal="right" vertical="center"/>
    </xf>
    <xf numFmtId="0" fontId="6" fillId="7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left" vertical="center"/>
    </xf>
    <xf numFmtId="38" fontId="6" fillId="8" borderId="1" xfId="0" applyNumberFormat="1" applyFont="1" applyFill="1" applyBorder="1" applyAlignment="1">
      <alignment horizontal="right" vertical="center"/>
    </xf>
    <xf numFmtId="0" fontId="6" fillId="8" borderId="1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left" vertical="center"/>
    </xf>
    <xf numFmtId="0" fontId="9" fillId="10" borderId="4" xfId="0" applyFont="1" applyFill="1" applyBorder="1" applyAlignment="1">
      <alignment horizontal="center" vertical="center"/>
    </xf>
    <xf numFmtId="0" fontId="8" fillId="11" borderId="4" xfId="0" applyFont="1" applyFill="1" applyBorder="1" applyAlignment="1">
      <alignment horizontal="left" vertical="center"/>
    </xf>
    <xf numFmtId="0" fontId="14" fillId="6" borderId="4" xfId="0" applyFont="1" applyFill="1" applyBorder="1" applyAlignment="1">
      <alignment horizontal="center" vertical="center"/>
    </xf>
    <xf numFmtId="0" fontId="15" fillId="3" borderId="4" xfId="0" applyFont="1" applyFill="1" applyBorder="1" applyAlignment="1">
      <alignment horizontal="center" vertical="center" wrapText="1"/>
    </xf>
    <xf numFmtId="0" fontId="10" fillId="16" borderId="4" xfId="0" applyFont="1" applyFill="1" applyBorder="1" applyAlignment="1">
      <alignment horizontal="left" vertical="center"/>
    </xf>
    <xf numFmtId="0" fontId="10" fillId="11" borderId="4" xfId="0" applyFont="1" applyFill="1" applyBorder="1" applyAlignment="1">
      <alignment horizontal="left" vertical="center"/>
    </xf>
    <xf numFmtId="176" fontId="10" fillId="0" borderId="4" xfId="0" applyNumberFormat="1" applyFont="1" applyBorder="1" applyAlignment="1">
      <alignment horizontal="right" vertical="center"/>
    </xf>
    <xf numFmtId="176" fontId="10" fillId="17" borderId="4" xfId="0" applyNumberFormat="1" applyFont="1" applyFill="1" applyBorder="1" applyAlignment="1">
      <alignment horizontal="right" vertical="center"/>
    </xf>
    <xf numFmtId="0" fontId="8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left" vertical="center" wrapText="1"/>
    </xf>
    <xf numFmtId="176" fontId="10" fillId="0" borderId="4" xfId="0" applyNumberFormat="1" applyFont="1" applyBorder="1" applyAlignment="1">
      <alignment horizontal="center" vertical="center"/>
    </xf>
    <xf numFmtId="176" fontId="10" fillId="17" borderId="4" xfId="0" applyNumberFormat="1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left" vertical="center"/>
    </xf>
    <xf numFmtId="0" fontId="16" fillId="11" borderId="4" xfId="0" applyFont="1" applyFill="1" applyBorder="1" applyAlignment="1">
      <alignment horizontal="center" vertical="center"/>
    </xf>
    <xf numFmtId="3" fontId="10" fillId="0" borderId="4" xfId="0" applyNumberFormat="1" applyFont="1" applyBorder="1" applyAlignment="1">
      <alignment horizontal="right" vertical="center"/>
    </xf>
    <xf numFmtId="0" fontId="8" fillId="17" borderId="4" xfId="0" applyFont="1" applyFill="1" applyBorder="1" applyAlignment="1">
      <alignment horizontal="left" vertical="center"/>
    </xf>
    <xf numFmtId="3" fontId="8" fillId="17" borderId="4" xfId="0" applyNumberFormat="1" applyFont="1" applyFill="1" applyBorder="1" applyAlignment="1">
      <alignment horizontal="right" vertical="center"/>
    </xf>
    <xf numFmtId="3" fontId="8" fillId="5" borderId="4" xfId="0" applyNumberFormat="1" applyFont="1" applyFill="1" applyBorder="1" applyAlignment="1">
      <alignment horizontal="right" vertical="center"/>
    </xf>
    <xf numFmtId="0" fontId="8" fillId="10" borderId="4" xfId="0" applyFont="1" applyFill="1" applyBorder="1" applyAlignment="1">
      <alignment horizontal="left" vertical="center"/>
    </xf>
    <xf numFmtId="176" fontId="18" fillId="10" borderId="4" xfId="0" applyNumberFormat="1" applyFont="1" applyFill="1" applyBorder="1" applyAlignment="1">
      <alignment horizontal="right" vertical="center"/>
    </xf>
    <xf numFmtId="2" fontId="18" fillId="10" borderId="4" xfId="0" applyNumberFormat="1" applyFont="1" applyFill="1" applyBorder="1" applyAlignment="1">
      <alignment horizontal="right" vertical="center"/>
    </xf>
    <xf numFmtId="0" fontId="8" fillId="0" borderId="4" xfId="0" applyFont="1" applyBorder="1" applyAlignment="1">
      <alignment horizontal="left" vertical="center"/>
    </xf>
    <xf numFmtId="3" fontId="18" fillId="10" borderId="4" xfId="0" applyNumberFormat="1" applyFont="1" applyFill="1" applyBorder="1" applyAlignment="1">
      <alignment horizontal="right" vertical="center"/>
    </xf>
    <xf numFmtId="0" fontId="0" fillId="11" borderId="4" xfId="0" applyFill="1" applyBorder="1"/>
    <xf numFmtId="3" fontId="10" fillId="16" borderId="4" xfId="0" applyNumberFormat="1" applyFont="1" applyFill="1" applyBorder="1" applyAlignment="1">
      <alignment horizontal="right" vertical="center"/>
    </xf>
    <xf numFmtId="3" fontId="10" fillId="11" borderId="4" xfId="0" applyNumberFormat="1" applyFont="1" applyFill="1" applyBorder="1" applyAlignment="1">
      <alignment horizontal="right" vertical="center"/>
    </xf>
    <xf numFmtId="0" fontId="7" fillId="9" borderId="4" xfId="0" applyFont="1" applyFill="1" applyBorder="1" applyAlignment="1">
      <alignment horizontal="left" vertical="center"/>
    </xf>
    <xf numFmtId="0" fontId="0" fillId="0" borderId="5" xfId="0" applyBorder="1"/>
    <xf numFmtId="0" fontId="0" fillId="0" borderId="6" xfId="0" applyBorder="1"/>
    <xf numFmtId="0" fontId="10" fillId="11" borderId="4" xfId="0" applyFont="1" applyFill="1" applyBorder="1" applyAlignment="1">
      <alignment horizontal="left" vertical="center"/>
    </xf>
    <xf numFmtId="0" fontId="0" fillId="0" borderId="0" xfId="0"/>
    <xf numFmtId="0" fontId="9" fillId="15" borderId="4" xfId="0" applyFont="1" applyFill="1" applyBorder="1" applyAlignment="1">
      <alignment horizontal="left" vertical="center"/>
    </xf>
    <xf numFmtId="0" fontId="17" fillId="0" borderId="0" xfId="0" applyFont="1" applyAlignment="1">
      <alignment horizontal="right" vertical="center"/>
    </xf>
    <xf numFmtId="0" fontId="19" fillId="5" borderId="4" xfId="0" applyFont="1" applyFill="1" applyBorder="1" applyAlignment="1">
      <alignment horizontal="center" vertical="center"/>
    </xf>
    <xf numFmtId="0" fontId="15" fillId="3" borderId="4" xfId="0" applyFont="1" applyFill="1" applyBorder="1" applyAlignment="1">
      <alignment horizontal="center" vertical="center" wrapText="1"/>
    </xf>
    <xf numFmtId="0" fontId="17" fillId="11" borderId="4" xfId="0" applyFont="1" applyFill="1" applyBorder="1" applyAlignment="1">
      <alignment horizontal="left" vertical="top" wrapText="1"/>
    </xf>
    <xf numFmtId="0" fontId="2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0" fillId="5" borderId="4" xfId="0" applyFont="1" applyFill="1" applyBorder="1" applyAlignment="1">
      <alignment horizontal="left" vertical="center"/>
    </xf>
    <xf numFmtId="0" fontId="12" fillId="13" borderId="4" xfId="0" applyFont="1" applyFill="1" applyBorder="1" applyAlignment="1">
      <alignment horizontal="center" vertical="center"/>
    </xf>
    <xf numFmtId="0" fontId="14" fillId="6" borderId="4" xfId="0" applyFont="1" applyFill="1" applyBorder="1" applyAlignment="1">
      <alignment horizontal="center" vertical="center"/>
    </xf>
    <xf numFmtId="0" fontId="13" fillId="14" borderId="4" xfId="0" applyFont="1" applyFill="1" applyBorder="1" applyAlignment="1">
      <alignment horizontal="center" vertical="center"/>
    </xf>
    <xf numFmtId="0" fontId="11" fillId="12" borderId="4" xfId="0" applyFont="1" applyFill="1" applyBorder="1" applyAlignment="1">
      <alignment horizontal="center" vertical="center"/>
    </xf>
  </cellXfs>
  <cellStyles count="1">
    <cellStyle name="標準" xfId="0" builtinId="0"/>
  </cellStyles>
  <dxfs count="7">
    <dxf>
      <font>
        <sz val="9"/>
        <color rgb="FF9C0006"/>
        <name val="游ゴシック"/>
      </font>
      <fill>
        <patternFill patternType="solid">
          <fgColor rgb="FFFFC7CE"/>
        </patternFill>
      </fill>
    </dxf>
    <dxf>
      <font>
        <sz val="9"/>
        <color rgb="FF375623"/>
        <name val="游ゴシック"/>
      </font>
      <fill>
        <patternFill patternType="solid">
          <fgColor rgb="FFC6EFCE"/>
        </patternFill>
      </fill>
    </dxf>
    <dxf>
      <font>
        <b/>
        <sz val="9"/>
        <color rgb="FF375623"/>
        <name val="游ゴシック"/>
      </font>
      <fill>
        <patternFill patternType="solid">
          <fgColor rgb="FFC6EFCE"/>
        </patternFill>
      </fill>
    </dxf>
    <dxf>
      <font>
        <b/>
        <sz val="9"/>
        <color rgb="FF7D4706"/>
        <name val="游ゴシック"/>
      </font>
      <fill>
        <patternFill patternType="solid">
          <fgColor rgb="FFFFEB9C"/>
        </patternFill>
      </fill>
    </dxf>
    <dxf>
      <font>
        <b/>
        <sz val="9"/>
        <color rgb="FF9C0006"/>
        <name val="游ゴシック"/>
      </font>
      <fill>
        <patternFill patternType="solid">
          <fgColor rgb="FFFFC7CE"/>
        </patternFill>
      </fill>
    </dxf>
    <dxf>
      <font>
        <sz val="9"/>
        <color rgb="FF375623"/>
        <name val="游ゴシック"/>
      </font>
      <fill>
        <patternFill patternType="solid">
          <fgColor rgb="FFE0FFE0"/>
        </patternFill>
      </fill>
    </dxf>
    <dxf>
      <font>
        <sz val="9"/>
        <color rgb="FF9C0006"/>
        <name val="游ゴシック"/>
      </font>
      <fill>
        <patternFill patternType="solid">
          <fgColor rgb="FFFFE0E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"/>
  <sheetViews>
    <sheetView workbookViewId="0">
      <pane xSplit="1" ySplit="3" topLeftCell="B12" activePane="bottomRight" state="frozen"/>
      <selection pane="topRight"/>
      <selection pane="bottomLeft"/>
      <selection pane="bottomRight" activeCell="D5" sqref="D5:D61"/>
    </sheetView>
  </sheetViews>
  <sheetFormatPr defaultRowHeight="13.2" x14ac:dyDescent="0.2"/>
  <cols>
    <col min="1" max="1" width="30" customWidth="1"/>
    <col min="2" max="5" width="14" customWidth="1"/>
    <col min="6" max="6" width="10" customWidth="1"/>
  </cols>
  <sheetData>
    <row r="1" spans="1:6" ht="24" customHeight="1" x14ac:dyDescent="0.2">
      <c r="A1" s="54" t="s">
        <v>0</v>
      </c>
      <c r="B1" s="55"/>
      <c r="C1" s="55"/>
      <c r="D1" s="55"/>
      <c r="E1" s="55"/>
      <c r="F1" s="56"/>
    </row>
    <row r="2" spans="1:6" ht="13.95" customHeight="1" x14ac:dyDescent="0.2">
      <c r="A2" s="53" t="s">
        <v>1</v>
      </c>
      <c r="B2" s="47"/>
      <c r="C2" s="47"/>
      <c r="D2" s="47"/>
      <c r="E2" s="47"/>
      <c r="F2" s="47"/>
    </row>
    <row r="3" spans="1:6" ht="30" customHeight="1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ht="18" customHeight="1" x14ac:dyDescent="0.2">
      <c r="A4" s="2" t="s">
        <v>8</v>
      </c>
      <c r="B4" s="3"/>
      <c r="C4" s="3"/>
      <c r="D4" s="3"/>
      <c r="E4" s="3"/>
      <c r="F4" s="3"/>
    </row>
    <row r="5" spans="1:6" x14ac:dyDescent="0.2">
      <c r="A5" s="4" t="s">
        <v>9</v>
      </c>
      <c r="B5" s="5">
        <v>7028</v>
      </c>
      <c r="C5" s="5">
        <v>7028</v>
      </c>
      <c r="D5" s="5">
        <v>7028</v>
      </c>
      <c r="E5" s="6"/>
      <c r="F5" s="6"/>
    </row>
    <row r="6" spans="1:6" x14ac:dyDescent="0.2">
      <c r="A6" s="4" t="s">
        <v>10</v>
      </c>
      <c r="B6" s="5">
        <v>10010</v>
      </c>
      <c r="C6" s="5">
        <v>10010</v>
      </c>
      <c r="D6" s="5">
        <v>10010</v>
      </c>
      <c r="E6" s="6"/>
      <c r="F6" s="6"/>
    </row>
    <row r="7" spans="1:6" x14ac:dyDescent="0.2">
      <c r="A7" s="4" t="s">
        <v>11</v>
      </c>
      <c r="B7" s="5">
        <v>600</v>
      </c>
      <c r="C7" s="5">
        <v>600</v>
      </c>
      <c r="D7" s="5">
        <v>600</v>
      </c>
      <c r="E7" s="6"/>
      <c r="F7" s="6"/>
    </row>
    <row r="8" spans="1:6" x14ac:dyDescent="0.2">
      <c r="A8" s="4" t="s">
        <v>12</v>
      </c>
      <c r="B8" s="5">
        <v>724</v>
      </c>
      <c r="C8" s="5">
        <v>724</v>
      </c>
      <c r="D8" s="5">
        <v>724</v>
      </c>
      <c r="E8" s="6"/>
      <c r="F8" s="6"/>
    </row>
    <row r="9" spans="1:6" x14ac:dyDescent="0.2">
      <c r="A9" s="7" t="s">
        <v>13</v>
      </c>
      <c r="B9" s="8"/>
      <c r="C9" s="8"/>
      <c r="D9" s="8"/>
      <c r="E9" s="8"/>
      <c r="F9" s="8"/>
    </row>
    <row r="10" spans="1:6" x14ac:dyDescent="0.2">
      <c r="A10" s="7" t="s">
        <v>14</v>
      </c>
      <c r="B10" s="8"/>
      <c r="C10" s="8"/>
      <c r="D10" s="8"/>
      <c r="E10" s="8"/>
      <c r="F10" s="8"/>
    </row>
    <row r="11" spans="1:6" x14ac:dyDescent="0.2">
      <c r="A11" s="7" t="s">
        <v>15</v>
      </c>
      <c r="B11" s="8"/>
      <c r="C11" s="8"/>
      <c r="D11" s="8"/>
      <c r="E11" s="8"/>
      <c r="F11" s="8"/>
    </row>
    <row r="12" spans="1:6" x14ac:dyDescent="0.2">
      <c r="A12" s="7" t="s">
        <v>16</v>
      </c>
      <c r="B12" s="8"/>
      <c r="C12" s="8"/>
      <c r="D12" s="8"/>
      <c r="E12" s="8"/>
      <c r="F12" s="8"/>
    </row>
    <row r="13" spans="1:6" x14ac:dyDescent="0.2">
      <c r="A13" s="7" t="s">
        <v>17</v>
      </c>
      <c r="B13" s="8"/>
      <c r="C13" s="8"/>
      <c r="D13" s="8"/>
      <c r="E13" s="8"/>
      <c r="F13" s="8"/>
    </row>
    <row r="14" spans="1:6" x14ac:dyDescent="0.2">
      <c r="A14" s="9" t="s">
        <v>18</v>
      </c>
      <c r="B14" s="10">
        <v>18364</v>
      </c>
      <c r="C14" s="10">
        <v>18364</v>
      </c>
      <c r="D14" s="10">
        <v>18364</v>
      </c>
      <c r="E14" s="11"/>
      <c r="F14" s="11"/>
    </row>
    <row r="15" spans="1:6" ht="18" customHeight="1" x14ac:dyDescent="0.2">
      <c r="A15" s="2" t="s">
        <v>19</v>
      </c>
      <c r="B15" s="3"/>
      <c r="C15" s="3"/>
      <c r="D15" s="3"/>
      <c r="E15" s="3"/>
      <c r="F15" s="3"/>
    </row>
    <row r="16" spans="1:6" x14ac:dyDescent="0.2">
      <c r="A16" s="4" t="s">
        <v>20</v>
      </c>
      <c r="B16" s="5">
        <v>10960</v>
      </c>
      <c r="C16" s="5">
        <v>10960</v>
      </c>
      <c r="D16" s="5">
        <v>10960</v>
      </c>
      <c r="E16" s="6"/>
      <c r="F16" s="6"/>
    </row>
    <row r="17" spans="1:6" x14ac:dyDescent="0.2">
      <c r="A17" s="7" t="s">
        <v>21</v>
      </c>
      <c r="B17" s="8"/>
      <c r="C17" s="8"/>
      <c r="D17" s="8"/>
      <c r="E17" s="8"/>
      <c r="F17" s="8"/>
    </row>
    <row r="18" spans="1:6" x14ac:dyDescent="0.2">
      <c r="A18" s="7" t="s">
        <v>22</v>
      </c>
      <c r="B18" s="8"/>
      <c r="C18" s="8"/>
      <c r="D18" s="8"/>
      <c r="E18" s="8"/>
      <c r="F18" s="8"/>
    </row>
    <row r="19" spans="1:6" x14ac:dyDescent="0.2">
      <c r="A19" s="4" t="s">
        <v>23</v>
      </c>
      <c r="B19" s="5">
        <v>8093</v>
      </c>
      <c r="C19" s="5">
        <v>8093</v>
      </c>
      <c r="D19" s="5">
        <v>8093</v>
      </c>
      <c r="E19" s="6"/>
      <c r="F19" s="6"/>
    </row>
    <row r="20" spans="1:6" x14ac:dyDescent="0.2">
      <c r="A20" s="7" t="s">
        <v>24</v>
      </c>
      <c r="B20" s="8"/>
      <c r="C20" s="8"/>
      <c r="D20" s="8"/>
      <c r="E20" s="8"/>
      <c r="F20" s="8"/>
    </row>
    <row r="21" spans="1:6" x14ac:dyDescent="0.2">
      <c r="A21" s="7" t="s">
        <v>25</v>
      </c>
      <c r="B21" s="8"/>
      <c r="C21" s="8"/>
      <c r="D21" s="8"/>
      <c r="E21" s="8"/>
      <c r="F21" s="8"/>
    </row>
    <row r="22" spans="1:6" x14ac:dyDescent="0.2">
      <c r="A22" s="4" t="s">
        <v>26</v>
      </c>
      <c r="B22" s="5">
        <v>2741</v>
      </c>
      <c r="C22" s="5">
        <v>2741</v>
      </c>
      <c r="D22" s="5">
        <v>2741</v>
      </c>
      <c r="E22" s="6"/>
      <c r="F22" s="6"/>
    </row>
    <row r="23" spans="1:6" x14ac:dyDescent="0.2">
      <c r="A23" s="4" t="s">
        <v>27</v>
      </c>
      <c r="B23" s="5">
        <v>2166</v>
      </c>
      <c r="C23" s="5">
        <v>2166</v>
      </c>
      <c r="D23" s="5">
        <v>2166</v>
      </c>
      <c r="E23" s="6"/>
      <c r="F23" s="6"/>
    </row>
    <row r="24" spans="1:6" x14ac:dyDescent="0.2">
      <c r="A24" s="4" t="s">
        <v>28</v>
      </c>
      <c r="B24" s="5">
        <v>2090</v>
      </c>
      <c r="C24" s="5">
        <v>2090</v>
      </c>
      <c r="D24" s="5">
        <v>2090</v>
      </c>
      <c r="E24" s="6"/>
      <c r="F24" s="6"/>
    </row>
    <row r="25" spans="1:6" x14ac:dyDescent="0.2">
      <c r="A25" s="4" t="s">
        <v>29</v>
      </c>
      <c r="B25" s="5">
        <v>46</v>
      </c>
      <c r="C25" s="5">
        <v>46</v>
      </c>
      <c r="D25" s="5">
        <v>46</v>
      </c>
      <c r="E25" s="6"/>
      <c r="F25" s="6"/>
    </row>
    <row r="26" spans="1:6" x14ac:dyDescent="0.2">
      <c r="A26" s="4" t="s">
        <v>30</v>
      </c>
      <c r="B26" s="5">
        <v>30</v>
      </c>
      <c r="C26" s="5">
        <v>30</v>
      </c>
      <c r="D26" s="5">
        <v>30</v>
      </c>
      <c r="E26" s="6"/>
      <c r="F26" s="6"/>
    </row>
    <row r="27" spans="1:6" x14ac:dyDescent="0.2">
      <c r="A27" s="7" t="s">
        <v>31</v>
      </c>
      <c r="B27" s="8"/>
      <c r="C27" s="8"/>
      <c r="D27" s="8"/>
      <c r="E27" s="8"/>
      <c r="F27" s="8"/>
    </row>
    <row r="28" spans="1:6" x14ac:dyDescent="0.2">
      <c r="A28" s="9" t="s">
        <v>32</v>
      </c>
      <c r="B28" s="10">
        <v>13126</v>
      </c>
      <c r="C28" s="10">
        <v>13126</v>
      </c>
      <c r="D28" s="10">
        <v>13126</v>
      </c>
      <c r="E28" s="11"/>
      <c r="F28" s="11"/>
    </row>
    <row r="29" spans="1:6" x14ac:dyDescent="0.2">
      <c r="A29" s="12" t="s">
        <v>33</v>
      </c>
      <c r="B29" s="13">
        <v>31491</v>
      </c>
      <c r="C29" s="13">
        <v>31491</v>
      </c>
      <c r="D29" s="13">
        <v>31491</v>
      </c>
      <c r="E29" s="14"/>
      <c r="F29" s="14"/>
    </row>
    <row r="31" spans="1:6" ht="18" customHeight="1" x14ac:dyDescent="0.2">
      <c r="A31" s="2" t="s">
        <v>34</v>
      </c>
      <c r="B31" s="3"/>
      <c r="C31" s="3"/>
      <c r="D31" s="3"/>
      <c r="E31" s="3"/>
      <c r="F31" s="3"/>
    </row>
    <row r="32" spans="1:6" x14ac:dyDescent="0.2">
      <c r="A32" s="7" t="s">
        <v>35</v>
      </c>
      <c r="B32" s="8"/>
      <c r="C32" s="8"/>
      <c r="D32" s="8"/>
      <c r="E32" s="8"/>
      <c r="F32" s="8"/>
    </row>
    <row r="33" spans="1:6" x14ac:dyDescent="0.2">
      <c r="A33" s="7" t="s">
        <v>36</v>
      </c>
      <c r="B33" s="8"/>
      <c r="C33" s="8"/>
      <c r="D33" s="8"/>
      <c r="E33" s="8"/>
      <c r="F33" s="8"/>
    </row>
    <row r="34" spans="1:6" x14ac:dyDescent="0.2">
      <c r="A34" s="7" t="s">
        <v>37</v>
      </c>
      <c r="B34" s="8"/>
      <c r="C34" s="8"/>
      <c r="D34" s="8"/>
      <c r="E34" s="8"/>
      <c r="F34" s="8"/>
    </row>
    <row r="35" spans="1:6" x14ac:dyDescent="0.2">
      <c r="A35" s="7" t="s">
        <v>38</v>
      </c>
      <c r="B35" s="8"/>
      <c r="C35" s="8"/>
      <c r="D35" s="8"/>
      <c r="E35" s="8"/>
      <c r="F35" s="8"/>
    </row>
    <row r="36" spans="1:6" x14ac:dyDescent="0.2">
      <c r="A36" s="7" t="s">
        <v>39</v>
      </c>
      <c r="B36" s="8"/>
      <c r="C36" s="8"/>
      <c r="D36" s="8"/>
      <c r="E36" s="8"/>
      <c r="F36" s="8"/>
    </row>
    <row r="37" spans="1:6" x14ac:dyDescent="0.2">
      <c r="A37" s="7" t="s">
        <v>40</v>
      </c>
      <c r="B37" s="8"/>
      <c r="C37" s="8"/>
      <c r="D37" s="8"/>
      <c r="E37" s="8"/>
      <c r="F37" s="8"/>
    </row>
    <row r="38" spans="1:6" x14ac:dyDescent="0.2">
      <c r="A38" s="7" t="s">
        <v>41</v>
      </c>
      <c r="B38" s="8"/>
      <c r="C38" s="8"/>
      <c r="D38" s="8"/>
      <c r="E38" s="8"/>
      <c r="F38" s="8"/>
    </row>
    <row r="39" spans="1:6" x14ac:dyDescent="0.2">
      <c r="A39" s="7" t="s">
        <v>42</v>
      </c>
      <c r="B39" s="8"/>
      <c r="C39" s="8"/>
      <c r="D39" s="8"/>
      <c r="E39" s="8"/>
      <c r="F39" s="8"/>
    </row>
    <row r="40" spans="1:6" x14ac:dyDescent="0.2">
      <c r="A40" s="7" t="s">
        <v>43</v>
      </c>
      <c r="B40" s="8"/>
      <c r="C40" s="8"/>
      <c r="D40" s="8"/>
      <c r="E40" s="8"/>
      <c r="F40" s="8"/>
    </row>
    <row r="41" spans="1:6" x14ac:dyDescent="0.2">
      <c r="A41" s="7" t="s">
        <v>44</v>
      </c>
      <c r="B41" s="8"/>
      <c r="C41" s="8"/>
      <c r="D41" s="8"/>
      <c r="E41" s="8"/>
      <c r="F41" s="8"/>
    </row>
    <row r="42" spans="1:6" x14ac:dyDescent="0.2">
      <c r="A42" s="7" t="s">
        <v>45</v>
      </c>
      <c r="B42" s="8"/>
      <c r="C42" s="8"/>
      <c r="D42" s="8"/>
      <c r="E42" s="8"/>
      <c r="F42" s="8"/>
    </row>
    <row r="43" spans="1:6" x14ac:dyDescent="0.2">
      <c r="A43" s="9" t="s">
        <v>46</v>
      </c>
      <c r="B43" s="10">
        <v>56339</v>
      </c>
      <c r="C43" s="10">
        <v>56339</v>
      </c>
      <c r="D43" s="10">
        <v>56339</v>
      </c>
      <c r="E43" s="11"/>
      <c r="F43" s="11"/>
    </row>
    <row r="44" spans="1:6" ht="18" customHeight="1" x14ac:dyDescent="0.2">
      <c r="A44" s="2" t="s">
        <v>47</v>
      </c>
      <c r="B44" s="3"/>
      <c r="C44" s="3"/>
      <c r="D44" s="3"/>
      <c r="E44" s="3"/>
      <c r="F44" s="3"/>
    </row>
    <row r="45" spans="1:6" x14ac:dyDescent="0.2">
      <c r="A45" s="7" t="s">
        <v>48</v>
      </c>
      <c r="B45" s="8"/>
      <c r="C45" s="8"/>
      <c r="D45" s="8"/>
      <c r="E45" s="8"/>
      <c r="F45" s="8"/>
    </row>
    <row r="46" spans="1:6" x14ac:dyDescent="0.2">
      <c r="A46" s="7" t="s">
        <v>49</v>
      </c>
      <c r="B46" s="8"/>
      <c r="C46" s="8"/>
      <c r="D46" s="8"/>
      <c r="E46" s="8"/>
      <c r="F46" s="8"/>
    </row>
    <row r="47" spans="1:6" x14ac:dyDescent="0.2">
      <c r="A47" s="7" t="s">
        <v>50</v>
      </c>
      <c r="B47" s="8"/>
      <c r="C47" s="8"/>
      <c r="D47" s="8"/>
      <c r="E47" s="8"/>
      <c r="F47" s="8"/>
    </row>
    <row r="48" spans="1:6" x14ac:dyDescent="0.2">
      <c r="A48" s="9" t="s">
        <v>51</v>
      </c>
      <c r="B48" s="11"/>
      <c r="C48" s="11"/>
      <c r="D48" s="11"/>
      <c r="E48" s="11"/>
      <c r="F48" s="11"/>
    </row>
    <row r="49" spans="1:6" x14ac:dyDescent="0.2">
      <c r="A49" s="12" t="s">
        <v>52</v>
      </c>
      <c r="B49" s="13">
        <v>56339</v>
      </c>
      <c r="C49" s="13">
        <v>56339</v>
      </c>
      <c r="D49" s="13">
        <v>56339</v>
      </c>
      <c r="E49" s="14"/>
      <c r="F49" s="14"/>
    </row>
    <row r="50" spans="1:6" ht="18" customHeight="1" x14ac:dyDescent="0.2">
      <c r="A50" s="2" t="s">
        <v>53</v>
      </c>
      <c r="B50" s="3"/>
      <c r="C50" s="3"/>
      <c r="D50" s="3"/>
      <c r="E50" s="3"/>
      <c r="F50" s="3"/>
    </row>
    <row r="51" spans="1:6" x14ac:dyDescent="0.2">
      <c r="A51" s="4" t="s">
        <v>54</v>
      </c>
      <c r="B51" s="5">
        <v>36000</v>
      </c>
      <c r="C51" s="5">
        <v>36000</v>
      </c>
      <c r="D51" s="5">
        <v>36000</v>
      </c>
      <c r="E51" s="6"/>
      <c r="F51" s="6"/>
    </row>
    <row r="52" spans="1:6" x14ac:dyDescent="0.2">
      <c r="A52" s="4" t="s">
        <v>55</v>
      </c>
      <c r="B52" s="5">
        <v>18851</v>
      </c>
      <c r="C52" s="5">
        <v>18851</v>
      </c>
      <c r="D52" s="5">
        <v>18851</v>
      </c>
      <c r="E52" s="6"/>
      <c r="F52" s="6"/>
    </row>
    <row r="53" spans="1:6" x14ac:dyDescent="0.2">
      <c r="A53" s="7" t="s">
        <v>56</v>
      </c>
      <c r="B53" s="8"/>
      <c r="C53" s="8"/>
      <c r="D53" s="8"/>
      <c r="E53" s="8"/>
      <c r="F53" s="8"/>
    </row>
    <row r="54" spans="1:6" x14ac:dyDescent="0.2">
      <c r="A54" s="4" t="s">
        <v>57</v>
      </c>
      <c r="B54" s="5">
        <v>8</v>
      </c>
      <c r="C54" s="5">
        <v>8</v>
      </c>
      <c r="D54" s="5">
        <v>8</v>
      </c>
      <c r="E54" s="6"/>
      <c r="F54" s="6"/>
    </row>
    <row r="55" spans="1:6" x14ac:dyDescent="0.2">
      <c r="A55" s="7" t="s">
        <v>58</v>
      </c>
      <c r="B55" s="8"/>
      <c r="C55" s="8"/>
      <c r="D55" s="8"/>
      <c r="E55" s="8"/>
      <c r="F55" s="8"/>
    </row>
    <row r="56" spans="1:6" x14ac:dyDescent="0.2">
      <c r="A56" s="9" t="s">
        <v>59</v>
      </c>
      <c r="B56" s="10">
        <v>30</v>
      </c>
      <c r="C56" s="10">
        <v>30</v>
      </c>
      <c r="D56" s="10">
        <v>30</v>
      </c>
      <c r="E56" s="11"/>
      <c r="F56" s="11"/>
    </row>
    <row r="57" spans="1:6" x14ac:dyDescent="0.2">
      <c r="A57" s="4" t="s">
        <v>60</v>
      </c>
      <c r="B57" s="5">
        <v>319</v>
      </c>
      <c r="C57" s="5">
        <v>319</v>
      </c>
      <c r="D57" s="5">
        <v>319</v>
      </c>
      <c r="E57" s="6"/>
      <c r="F57" s="6"/>
    </row>
    <row r="58" spans="1:6" x14ac:dyDescent="0.2">
      <c r="A58" s="9" t="s">
        <v>61</v>
      </c>
      <c r="B58" s="10">
        <v>41</v>
      </c>
      <c r="C58" s="10">
        <v>41</v>
      </c>
      <c r="D58" s="10">
        <v>41</v>
      </c>
      <c r="E58" s="11"/>
      <c r="F58" s="11"/>
    </row>
    <row r="59" spans="1:6" x14ac:dyDescent="0.2">
      <c r="A59" s="4" t="s">
        <v>62</v>
      </c>
      <c r="B59" s="5">
        <v>1088</v>
      </c>
      <c r="C59" s="5">
        <v>1088</v>
      </c>
      <c r="D59" s="5">
        <v>1088</v>
      </c>
      <c r="E59" s="6"/>
      <c r="F59" s="6"/>
    </row>
    <row r="60" spans="1:6" x14ac:dyDescent="0.2">
      <c r="A60" s="12" t="s">
        <v>63</v>
      </c>
      <c r="B60" s="13">
        <v>-24847</v>
      </c>
      <c r="C60" s="13">
        <v>-24847</v>
      </c>
      <c r="D60" s="13">
        <v>-24847</v>
      </c>
      <c r="E60" s="14"/>
      <c r="F60" s="14"/>
    </row>
    <row r="61" spans="1:6" x14ac:dyDescent="0.2">
      <c r="A61" s="12" t="s">
        <v>64</v>
      </c>
      <c r="B61" s="13">
        <v>31491</v>
      </c>
      <c r="C61" s="13">
        <v>31491</v>
      </c>
      <c r="D61" s="13">
        <v>31491</v>
      </c>
      <c r="E61" s="14"/>
      <c r="F61" s="14"/>
    </row>
  </sheetData>
  <mergeCells count="2">
    <mergeCell ref="A2:F2"/>
    <mergeCell ref="A1:F1"/>
  </mergeCells>
  <phoneticPr fontId="20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6"/>
  <sheetViews>
    <sheetView workbookViewId="0">
      <pane xSplit="1" ySplit="3" topLeftCell="B4" activePane="bottomRight" state="frozen"/>
      <selection pane="topRight"/>
      <selection pane="bottomLeft"/>
      <selection pane="bottomRight" activeCell="D18" sqref="D18"/>
    </sheetView>
  </sheetViews>
  <sheetFormatPr defaultRowHeight="13.2" x14ac:dyDescent="0.2"/>
  <cols>
    <col min="1" max="1" width="34" customWidth="1"/>
    <col min="2" max="5" width="14" customWidth="1"/>
    <col min="6" max="6" width="10" customWidth="1"/>
  </cols>
  <sheetData>
    <row r="1" spans="1:6" ht="24" customHeight="1" x14ac:dyDescent="0.2">
      <c r="A1" s="54" t="s">
        <v>65</v>
      </c>
      <c r="B1" s="55"/>
      <c r="C1" s="55"/>
      <c r="D1" s="55"/>
      <c r="E1" s="55"/>
      <c r="F1" s="56"/>
    </row>
    <row r="2" spans="1:6" ht="13.95" customHeight="1" x14ac:dyDescent="0.2">
      <c r="A2" s="53" t="s">
        <v>1</v>
      </c>
      <c r="B2" s="47"/>
      <c r="C2" s="47"/>
      <c r="D2" s="47"/>
      <c r="E2" s="47"/>
      <c r="F2" s="47"/>
    </row>
    <row r="3" spans="1:6" ht="30" customHeight="1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2">
      <c r="A4" s="12" t="s">
        <v>66</v>
      </c>
      <c r="B4" s="13">
        <v>30918</v>
      </c>
      <c r="C4" s="13">
        <v>30918</v>
      </c>
      <c r="D4" s="13">
        <v>30918</v>
      </c>
      <c r="E4" s="14"/>
      <c r="F4" s="14"/>
    </row>
    <row r="5" spans="1:6" ht="18" customHeight="1" x14ac:dyDescent="0.2">
      <c r="A5" s="2" t="s">
        <v>67</v>
      </c>
      <c r="B5" s="3"/>
      <c r="C5" s="3"/>
      <c r="D5" s="3"/>
      <c r="E5" s="3"/>
      <c r="F5" s="3"/>
    </row>
    <row r="6" spans="1:6" x14ac:dyDescent="0.2">
      <c r="A6" s="7" t="s">
        <v>68</v>
      </c>
      <c r="B6" s="8"/>
      <c r="C6" s="8"/>
      <c r="D6" s="8"/>
      <c r="E6" s="8"/>
      <c r="F6" s="8"/>
    </row>
    <row r="7" spans="1:6" x14ac:dyDescent="0.2">
      <c r="A7" s="7" t="s">
        <v>69</v>
      </c>
      <c r="B7" s="8"/>
      <c r="C7" s="8"/>
      <c r="D7" s="8"/>
      <c r="E7" s="8"/>
      <c r="F7" s="8"/>
    </row>
    <row r="8" spans="1:6" x14ac:dyDescent="0.2">
      <c r="A8" s="4" t="s">
        <v>70</v>
      </c>
      <c r="B8" s="5">
        <v>4148</v>
      </c>
      <c r="C8" s="5">
        <v>4148</v>
      </c>
      <c r="D8" s="5">
        <v>4148</v>
      </c>
      <c r="E8" s="6"/>
      <c r="F8" s="6"/>
    </row>
    <row r="9" spans="1:6" x14ac:dyDescent="0.2">
      <c r="A9" s="7" t="s">
        <v>71</v>
      </c>
      <c r="B9" s="8"/>
      <c r="C9" s="8"/>
      <c r="D9" s="8"/>
      <c r="E9" s="8"/>
      <c r="F9" s="8"/>
    </row>
    <row r="10" spans="1:6" x14ac:dyDescent="0.2">
      <c r="A10" s="9" t="s">
        <v>72</v>
      </c>
      <c r="B10" s="10">
        <v>4148</v>
      </c>
      <c r="C10" s="10">
        <v>4148</v>
      </c>
      <c r="D10" s="10">
        <v>4148</v>
      </c>
      <c r="E10" s="11"/>
      <c r="F10" s="11"/>
    </row>
    <row r="11" spans="1:6" x14ac:dyDescent="0.2">
      <c r="A11" s="12" t="s">
        <v>73</v>
      </c>
      <c r="B11" s="13">
        <v>26770</v>
      </c>
      <c r="C11" s="13">
        <v>26770</v>
      </c>
      <c r="D11" s="13">
        <v>26770</v>
      </c>
      <c r="E11" s="14"/>
      <c r="F11" s="14"/>
    </row>
    <row r="12" spans="1:6" x14ac:dyDescent="0.2">
      <c r="A12" s="9" t="s">
        <v>74</v>
      </c>
      <c r="B12" s="10">
        <v>62088</v>
      </c>
      <c r="C12" s="10">
        <v>62088</v>
      </c>
      <c r="D12" s="10">
        <v>62088</v>
      </c>
      <c r="E12" s="11"/>
      <c r="F12" s="11"/>
    </row>
    <row r="13" spans="1:6" x14ac:dyDescent="0.2">
      <c r="A13" s="12" t="s">
        <v>75</v>
      </c>
      <c r="B13" s="13">
        <v>-35318</v>
      </c>
      <c r="C13" s="13">
        <v>-35318</v>
      </c>
      <c r="D13" s="13">
        <v>-35318</v>
      </c>
      <c r="E13" s="14"/>
      <c r="F13" s="14"/>
    </row>
    <row r="14" spans="1:6" ht="18" customHeight="1" x14ac:dyDescent="0.2">
      <c r="A14" s="2" t="s">
        <v>76</v>
      </c>
      <c r="B14" s="3"/>
      <c r="C14" s="3"/>
      <c r="D14" s="3"/>
      <c r="E14" s="3"/>
      <c r="F14" s="3"/>
    </row>
    <row r="15" spans="1:6" x14ac:dyDescent="0.2">
      <c r="A15" s="4" t="s">
        <v>77</v>
      </c>
      <c r="B15" s="5">
        <v>0</v>
      </c>
      <c r="C15" s="5">
        <v>0</v>
      </c>
      <c r="D15" s="5">
        <v>0</v>
      </c>
      <c r="E15" s="6"/>
      <c r="F15" s="6"/>
    </row>
    <row r="16" spans="1:6" x14ac:dyDescent="0.2">
      <c r="A16" s="4" t="s">
        <v>78</v>
      </c>
      <c r="B16" s="5">
        <v>2</v>
      </c>
      <c r="C16" s="5">
        <v>2</v>
      </c>
      <c r="D16" s="5">
        <v>2</v>
      </c>
      <c r="E16" s="6"/>
      <c r="F16" s="6"/>
    </row>
    <row r="17" spans="1:6" x14ac:dyDescent="0.2">
      <c r="A17" s="4" t="s">
        <v>79</v>
      </c>
      <c r="B17" s="5">
        <v>3203</v>
      </c>
      <c r="C17" s="5">
        <v>3203</v>
      </c>
      <c r="D17" s="5">
        <v>3203</v>
      </c>
      <c r="E17" s="6"/>
      <c r="F17" s="6"/>
    </row>
    <row r="18" spans="1:6" x14ac:dyDescent="0.2">
      <c r="A18" s="9" t="s">
        <v>80</v>
      </c>
      <c r="B18" s="10">
        <v>3206</v>
      </c>
      <c r="C18" s="10">
        <v>3206</v>
      </c>
      <c r="D18" s="10">
        <v>3206</v>
      </c>
      <c r="E18" s="11"/>
      <c r="F18" s="11"/>
    </row>
    <row r="19" spans="1:6" ht="18" customHeight="1" x14ac:dyDescent="0.2">
      <c r="A19" s="2" t="s">
        <v>81</v>
      </c>
      <c r="B19" s="3"/>
      <c r="C19" s="3"/>
      <c r="D19" s="3"/>
      <c r="E19" s="3"/>
      <c r="F19" s="3"/>
    </row>
    <row r="20" spans="1:6" x14ac:dyDescent="0.2">
      <c r="A20" s="4" t="s">
        <v>82</v>
      </c>
      <c r="B20" s="5">
        <v>301</v>
      </c>
      <c r="C20" s="5">
        <v>301</v>
      </c>
      <c r="D20" s="5">
        <v>301</v>
      </c>
      <c r="E20" s="6"/>
      <c r="F20" s="6"/>
    </row>
    <row r="21" spans="1:6" x14ac:dyDescent="0.2">
      <c r="A21" s="7" t="s">
        <v>83</v>
      </c>
      <c r="B21" s="8"/>
      <c r="C21" s="8"/>
      <c r="D21" s="8"/>
      <c r="E21" s="8"/>
      <c r="F21" s="8"/>
    </row>
    <row r="22" spans="1:6" x14ac:dyDescent="0.2">
      <c r="A22" s="7" t="s">
        <v>84</v>
      </c>
      <c r="B22" s="8"/>
      <c r="C22" s="8"/>
      <c r="D22" s="8"/>
      <c r="E22" s="8"/>
      <c r="F22" s="8"/>
    </row>
    <row r="23" spans="1:6" x14ac:dyDescent="0.2">
      <c r="A23" s="9" t="s">
        <v>85</v>
      </c>
      <c r="B23" s="10">
        <v>301</v>
      </c>
      <c r="C23" s="10">
        <v>301</v>
      </c>
      <c r="D23" s="10">
        <v>301</v>
      </c>
      <c r="E23" s="11"/>
      <c r="F23" s="11"/>
    </row>
    <row r="24" spans="1:6" x14ac:dyDescent="0.2">
      <c r="A24" s="12" t="s">
        <v>86</v>
      </c>
      <c r="B24" s="13">
        <v>-32413</v>
      </c>
      <c r="C24" s="13">
        <v>-32413</v>
      </c>
      <c r="D24" s="13">
        <v>-32413</v>
      </c>
      <c r="E24" s="14"/>
      <c r="F24" s="14"/>
    </row>
    <row r="25" spans="1:6" ht="18" customHeight="1" x14ac:dyDescent="0.2">
      <c r="A25" s="2" t="s">
        <v>87</v>
      </c>
      <c r="B25" s="3"/>
      <c r="C25" s="3"/>
      <c r="D25" s="3"/>
      <c r="E25" s="3"/>
      <c r="F25" s="3"/>
    </row>
    <row r="26" spans="1:6" x14ac:dyDescent="0.2">
      <c r="A26" s="7" t="s">
        <v>88</v>
      </c>
      <c r="B26" s="8"/>
      <c r="C26" s="8"/>
      <c r="D26" s="8"/>
      <c r="E26" s="8"/>
      <c r="F26" s="8"/>
    </row>
    <row r="27" spans="1:6" x14ac:dyDescent="0.2">
      <c r="A27" s="7" t="s">
        <v>89</v>
      </c>
      <c r="B27" s="8"/>
      <c r="C27" s="8"/>
      <c r="D27" s="8"/>
      <c r="E27" s="8"/>
      <c r="F27" s="8"/>
    </row>
    <row r="28" spans="1:6" x14ac:dyDescent="0.2">
      <c r="A28" s="9" t="s">
        <v>90</v>
      </c>
      <c r="B28" s="11"/>
      <c r="C28" s="11"/>
      <c r="D28" s="11"/>
      <c r="E28" s="11"/>
      <c r="F28" s="11"/>
    </row>
    <row r="29" spans="1:6" ht="18" customHeight="1" x14ac:dyDescent="0.2">
      <c r="A29" s="2" t="s">
        <v>91</v>
      </c>
      <c r="B29" s="3"/>
      <c r="C29" s="3"/>
      <c r="D29" s="3"/>
      <c r="E29" s="3"/>
      <c r="F29" s="3"/>
    </row>
    <row r="30" spans="1:6" x14ac:dyDescent="0.2">
      <c r="A30" s="7" t="s">
        <v>92</v>
      </c>
      <c r="B30" s="8"/>
      <c r="C30" s="8"/>
      <c r="D30" s="8"/>
      <c r="E30" s="8"/>
      <c r="F30" s="8"/>
    </row>
    <row r="31" spans="1:6" x14ac:dyDescent="0.2">
      <c r="A31" s="7" t="s">
        <v>93</v>
      </c>
      <c r="B31" s="8"/>
      <c r="C31" s="8"/>
      <c r="D31" s="8"/>
      <c r="E31" s="8"/>
      <c r="F31" s="8"/>
    </row>
    <row r="32" spans="1:6" x14ac:dyDescent="0.2">
      <c r="A32" s="7" t="s">
        <v>94</v>
      </c>
      <c r="B32" s="8"/>
      <c r="C32" s="8"/>
      <c r="D32" s="8"/>
      <c r="E32" s="8"/>
      <c r="F32" s="8"/>
    </row>
    <row r="33" spans="1:6" x14ac:dyDescent="0.2">
      <c r="A33" s="9" t="s">
        <v>95</v>
      </c>
      <c r="B33" s="11"/>
      <c r="C33" s="11"/>
      <c r="D33" s="11"/>
      <c r="E33" s="11"/>
      <c r="F33" s="11"/>
    </row>
    <row r="34" spans="1:6" x14ac:dyDescent="0.2">
      <c r="A34" s="12" t="s">
        <v>96</v>
      </c>
      <c r="B34" s="13">
        <v>-32413</v>
      </c>
      <c r="C34" s="13">
        <v>-32413</v>
      </c>
      <c r="D34" s="13">
        <v>-32413</v>
      </c>
      <c r="E34" s="14"/>
      <c r="F34" s="14"/>
    </row>
    <row r="35" spans="1:6" x14ac:dyDescent="0.2">
      <c r="A35" s="4" t="s">
        <v>97</v>
      </c>
      <c r="B35" s="5">
        <v>30</v>
      </c>
      <c r="C35" s="5">
        <v>30</v>
      </c>
      <c r="D35" s="5">
        <v>30</v>
      </c>
      <c r="E35" s="6"/>
      <c r="F35" s="6"/>
    </row>
    <row r="36" spans="1:6" x14ac:dyDescent="0.2">
      <c r="A36" s="12" t="s">
        <v>98</v>
      </c>
      <c r="B36" s="13">
        <v>-32443</v>
      </c>
      <c r="C36" s="13">
        <v>-32443</v>
      </c>
      <c r="D36" s="13">
        <v>-32443</v>
      </c>
      <c r="E36" s="14"/>
      <c r="F36" s="14"/>
    </row>
  </sheetData>
  <mergeCells count="2">
    <mergeCell ref="A2:F2"/>
    <mergeCell ref="A1:F1"/>
  </mergeCells>
  <phoneticPr fontId="20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2"/>
  <sheetViews>
    <sheetView workbookViewId="0">
      <pane xSplit="1" ySplit="3" topLeftCell="B4" activePane="bottomRight" state="frozen"/>
      <selection pane="topRight"/>
      <selection pane="bottomLeft"/>
      <selection pane="bottomRight" activeCell="D4" sqref="D4:D32"/>
    </sheetView>
  </sheetViews>
  <sheetFormatPr defaultRowHeight="13.2" x14ac:dyDescent="0.2"/>
  <cols>
    <col min="1" max="1" width="28" customWidth="1"/>
    <col min="2" max="5" width="14" customWidth="1"/>
    <col min="6" max="6" width="10" customWidth="1"/>
  </cols>
  <sheetData>
    <row r="1" spans="1:6" ht="24" customHeight="1" x14ac:dyDescent="0.2">
      <c r="A1" s="54" t="s">
        <v>99</v>
      </c>
      <c r="B1" s="55"/>
      <c r="C1" s="55"/>
      <c r="D1" s="55"/>
      <c r="E1" s="55"/>
      <c r="F1" s="56"/>
    </row>
    <row r="2" spans="1:6" ht="13.95" customHeight="1" x14ac:dyDescent="0.2">
      <c r="A2" s="53" t="s">
        <v>1</v>
      </c>
      <c r="B2" s="47"/>
      <c r="C2" s="47"/>
      <c r="D2" s="47"/>
      <c r="E2" s="47"/>
      <c r="F2" s="47"/>
    </row>
    <row r="3" spans="1:6" ht="30" customHeight="1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2">
      <c r="A4" s="4" t="s">
        <v>100</v>
      </c>
      <c r="B4" s="5">
        <v>24799</v>
      </c>
      <c r="C4" s="5">
        <v>24799</v>
      </c>
      <c r="D4" s="5">
        <v>24799</v>
      </c>
      <c r="E4" s="6"/>
      <c r="F4" s="6"/>
    </row>
    <row r="5" spans="1:6" x14ac:dyDescent="0.2">
      <c r="A5" s="4" t="s">
        <v>101</v>
      </c>
      <c r="B5" s="5">
        <v>4165</v>
      </c>
      <c r="C5" s="5">
        <v>4165</v>
      </c>
      <c r="D5" s="5">
        <v>4165</v>
      </c>
      <c r="E5" s="6"/>
      <c r="F5" s="6"/>
    </row>
    <row r="6" spans="1:6" x14ac:dyDescent="0.2">
      <c r="A6" s="4" t="s">
        <v>102</v>
      </c>
      <c r="B6" s="5">
        <v>1678</v>
      </c>
      <c r="C6" s="5">
        <v>1678</v>
      </c>
      <c r="D6" s="5">
        <v>1678</v>
      </c>
      <c r="E6" s="6"/>
      <c r="F6" s="6"/>
    </row>
    <row r="7" spans="1:6" x14ac:dyDescent="0.2">
      <c r="A7" s="4" t="s">
        <v>103</v>
      </c>
      <c r="B7" s="5">
        <v>2741</v>
      </c>
      <c r="C7" s="5">
        <v>2741</v>
      </c>
      <c r="D7" s="5">
        <v>2741</v>
      </c>
      <c r="E7" s="6"/>
      <c r="F7" s="6"/>
    </row>
    <row r="8" spans="1:6" x14ac:dyDescent="0.2">
      <c r="A8" s="4" t="s">
        <v>104</v>
      </c>
      <c r="B8" s="5">
        <v>3799</v>
      </c>
      <c r="C8" s="5">
        <v>3799</v>
      </c>
      <c r="D8" s="5">
        <v>3799</v>
      </c>
      <c r="E8" s="6"/>
      <c r="F8" s="6"/>
    </row>
    <row r="9" spans="1:6" x14ac:dyDescent="0.2">
      <c r="A9" s="4" t="s">
        <v>105</v>
      </c>
      <c r="B9" s="5">
        <v>2144</v>
      </c>
      <c r="C9" s="5">
        <v>2144</v>
      </c>
      <c r="D9" s="5">
        <v>2144</v>
      </c>
      <c r="E9" s="6"/>
      <c r="F9" s="6"/>
    </row>
    <row r="10" spans="1:6" x14ac:dyDescent="0.2">
      <c r="A10" s="4" t="s">
        <v>106</v>
      </c>
      <c r="B10" s="5">
        <v>1088</v>
      </c>
      <c r="C10" s="5">
        <v>1088</v>
      </c>
      <c r="D10" s="5">
        <v>1088</v>
      </c>
      <c r="E10" s="6"/>
      <c r="F10" s="6"/>
    </row>
    <row r="11" spans="1:6" x14ac:dyDescent="0.2">
      <c r="A11" s="4" t="s">
        <v>107</v>
      </c>
      <c r="B11" s="5">
        <v>1347</v>
      </c>
      <c r="C11" s="5">
        <v>1347</v>
      </c>
      <c r="D11" s="5">
        <v>1347</v>
      </c>
      <c r="E11" s="6"/>
      <c r="F11" s="6"/>
    </row>
    <row r="12" spans="1:6" x14ac:dyDescent="0.2">
      <c r="A12" s="4" t="s">
        <v>108</v>
      </c>
      <c r="B12" s="5">
        <v>2112</v>
      </c>
      <c r="C12" s="5">
        <v>2112</v>
      </c>
      <c r="D12" s="5">
        <v>2112</v>
      </c>
      <c r="E12" s="6"/>
      <c r="F12" s="6"/>
    </row>
    <row r="13" spans="1:6" x14ac:dyDescent="0.2">
      <c r="A13" s="4" t="s">
        <v>109</v>
      </c>
      <c r="B13" s="5">
        <v>10</v>
      </c>
      <c r="C13" s="5">
        <v>10</v>
      </c>
      <c r="D13" s="5">
        <v>10</v>
      </c>
      <c r="E13" s="6"/>
      <c r="F13" s="6"/>
    </row>
    <row r="14" spans="1:6" x14ac:dyDescent="0.2">
      <c r="A14" s="4" t="s">
        <v>110</v>
      </c>
      <c r="B14" s="5">
        <v>60</v>
      </c>
      <c r="C14" s="5">
        <v>60</v>
      </c>
      <c r="D14" s="5">
        <v>60</v>
      </c>
      <c r="E14" s="6"/>
      <c r="F14" s="6"/>
    </row>
    <row r="15" spans="1:6" x14ac:dyDescent="0.2">
      <c r="A15" s="4" t="s">
        <v>111</v>
      </c>
      <c r="B15" s="5">
        <v>806</v>
      </c>
      <c r="C15" s="5">
        <v>806</v>
      </c>
      <c r="D15" s="5">
        <v>806</v>
      </c>
      <c r="E15" s="6"/>
      <c r="F15" s="6"/>
    </row>
    <row r="16" spans="1:6" x14ac:dyDescent="0.2">
      <c r="A16" s="4" t="s">
        <v>112</v>
      </c>
      <c r="B16" s="5">
        <v>4600</v>
      </c>
      <c r="C16" s="5">
        <v>4600</v>
      </c>
      <c r="D16" s="5">
        <v>4600</v>
      </c>
      <c r="E16" s="6"/>
      <c r="F16" s="6"/>
    </row>
    <row r="17" spans="1:6" x14ac:dyDescent="0.2">
      <c r="A17" s="4" t="s">
        <v>113</v>
      </c>
      <c r="B17" s="5">
        <v>30</v>
      </c>
      <c r="C17" s="5">
        <v>30</v>
      </c>
      <c r="D17" s="5">
        <v>30</v>
      </c>
      <c r="E17" s="6"/>
      <c r="F17" s="6"/>
    </row>
    <row r="18" spans="1:6" x14ac:dyDescent="0.2">
      <c r="A18" s="4" t="s">
        <v>114</v>
      </c>
      <c r="B18" s="5">
        <v>512</v>
      </c>
      <c r="C18" s="5">
        <v>512</v>
      </c>
      <c r="D18" s="5">
        <v>512</v>
      </c>
      <c r="E18" s="6"/>
      <c r="F18" s="6"/>
    </row>
    <row r="19" spans="1:6" x14ac:dyDescent="0.2">
      <c r="A19" s="4" t="s">
        <v>115</v>
      </c>
      <c r="B19" s="5">
        <v>4270</v>
      </c>
      <c r="C19" s="5">
        <v>4270</v>
      </c>
      <c r="D19" s="5">
        <v>4270</v>
      </c>
      <c r="E19" s="6"/>
      <c r="F19" s="6"/>
    </row>
    <row r="20" spans="1:6" x14ac:dyDescent="0.2">
      <c r="A20" s="4" t="s">
        <v>116</v>
      </c>
      <c r="B20" s="5">
        <v>27</v>
      </c>
      <c r="C20" s="5">
        <v>27</v>
      </c>
      <c r="D20" s="5">
        <v>27</v>
      </c>
      <c r="E20" s="6"/>
      <c r="F20" s="6"/>
    </row>
    <row r="21" spans="1:6" x14ac:dyDescent="0.2">
      <c r="A21" s="4" t="s">
        <v>117</v>
      </c>
      <c r="B21" s="5">
        <v>216</v>
      </c>
      <c r="C21" s="5">
        <v>216</v>
      </c>
      <c r="D21" s="5">
        <v>216</v>
      </c>
      <c r="E21" s="6"/>
      <c r="F21" s="6"/>
    </row>
    <row r="22" spans="1:6" x14ac:dyDescent="0.2">
      <c r="A22" s="4" t="s">
        <v>118</v>
      </c>
      <c r="B22" s="5">
        <v>2633</v>
      </c>
      <c r="C22" s="5">
        <v>2633</v>
      </c>
      <c r="D22" s="5">
        <v>2633</v>
      </c>
      <c r="E22" s="6"/>
      <c r="F22" s="6"/>
    </row>
    <row r="23" spans="1:6" x14ac:dyDescent="0.2">
      <c r="A23" s="4" t="s">
        <v>119</v>
      </c>
      <c r="B23" s="5">
        <v>10</v>
      </c>
      <c r="C23" s="5">
        <v>10</v>
      </c>
      <c r="D23" s="5">
        <v>10</v>
      </c>
      <c r="E23" s="6"/>
      <c r="F23" s="6"/>
    </row>
    <row r="24" spans="1:6" x14ac:dyDescent="0.2">
      <c r="A24" s="4" t="s">
        <v>120</v>
      </c>
      <c r="B24" s="5">
        <v>22</v>
      </c>
      <c r="C24" s="5">
        <v>22</v>
      </c>
      <c r="D24" s="5">
        <v>22</v>
      </c>
      <c r="E24" s="6"/>
      <c r="F24" s="6"/>
    </row>
    <row r="25" spans="1:6" x14ac:dyDescent="0.2">
      <c r="A25" s="4" t="s">
        <v>121</v>
      </c>
      <c r="B25" s="5">
        <v>709</v>
      </c>
      <c r="C25" s="5">
        <v>709</v>
      </c>
      <c r="D25" s="5">
        <v>709</v>
      </c>
      <c r="E25" s="6"/>
      <c r="F25" s="6"/>
    </row>
    <row r="26" spans="1:6" x14ac:dyDescent="0.2">
      <c r="A26" s="4" t="s">
        <v>122</v>
      </c>
      <c r="B26" s="5">
        <v>2737</v>
      </c>
      <c r="C26" s="5">
        <v>2737</v>
      </c>
      <c r="D26" s="5">
        <v>2737</v>
      </c>
      <c r="E26" s="6"/>
      <c r="F26" s="6"/>
    </row>
    <row r="27" spans="1:6" x14ac:dyDescent="0.2">
      <c r="A27" s="4" t="s">
        <v>123</v>
      </c>
      <c r="B27" s="5">
        <v>1321</v>
      </c>
      <c r="C27" s="5">
        <v>1321</v>
      </c>
      <c r="D27" s="5">
        <v>1321</v>
      </c>
      <c r="E27" s="6"/>
      <c r="F27" s="6"/>
    </row>
    <row r="28" spans="1:6" x14ac:dyDescent="0.2">
      <c r="A28" s="4" t="s">
        <v>124</v>
      </c>
      <c r="B28" s="5">
        <v>2</v>
      </c>
      <c r="C28" s="5">
        <v>2</v>
      </c>
      <c r="D28" s="5">
        <v>2</v>
      </c>
      <c r="E28" s="6"/>
      <c r="F28" s="6"/>
    </row>
    <row r="29" spans="1:6" x14ac:dyDescent="0.2">
      <c r="A29" s="4" t="s">
        <v>125</v>
      </c>
      <c r="B29" s="5">
        <v>240</v>
      </c>
      <c r="C29" s="5">
        <v>240</v>
      </c>
      <c r="D29" s="5">
        <v>240</v>
      </c>
      <c r="E29" s="6"/>
      <c r="F29" s="6"/>
    </row>
    <row r="30" spans="1:6" x14ac:dyDescent="0.2">
      <c r="A30" s="4" t="s">
        <v>126</v>
      </c>
      <c r="B30" s="6"/>
      <c r="C30" s="6"/>
      <c r="D30" s="6"/>
      <c r="E30" s="6"/>
      <c r="F30" s="6"/>
    </row>
    <row r="31" spans="1:6" x14ac:dyDescent="0.2">
      <c r="A31" s="4" t="s">
        <v>127</v>
      </c>
      <c r="B31" s="6"/>
      <c r="C31" s="6"/>
      <c r="D31" s="6"/>
      <c r="E31" s="6"/>
      <c r="F31" s="6"/>
    </row>
    <row r="32" spans="1:6" x14ac:dyDescent="0.2">
      <c r="A32" s="12" t="s">
        <v>74</v>
      </c>
      <c r="B32" s="13">
        <v>62088</v>
      </c>
      <c r="C32" s="13">
        <v>62088</v>
      </c>
      <c r="D32" s="13">
        <v>62088</v>
      </c>
      <c r="E32" s="14"/>
      <c r="F32" s="14"/>
    </row>
  </sheetData>
  <mergeCells count="2">
    <mergeCell ref="A2:F2"/>
    <mergeCell ref="A1:F1"/>
  </mergeCells>
  <phoneticPr fontId="20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2"/>
  <sheetViews>
    <sheetView tabSelected="1" workbookViewId="0">
      <pane xSplit="2" ySplit="4" topLeftCell="C5" activePane="bottomRight" state="frozen"/>
      <selection pane="topRight"/>
      <selection pane="bottomLeft"/>
      <selection pane="bottomRight" activeCell="D27" sqref="D27"/>
    </sheetView>
  </sheetViews>
  <sheetFormatPr defaultRowHeight="13.2" x14ac:dyDescent="0.2"/>
  <cols>
    <col min="1" max="1" width="22" customWidth="1"/>
    <col min="2" max="2" width="28" customWidth="1"/>
    <col min="3" max="7" width="12" customWidth="1"/>
    <col min="8" max="8" width="10" customWidth="1"/>
    <col min="9" max="9" width="33.88671875" bestFit="1" customWidth="1"/>
  </cols>
  <sheetData>
    <row r="1" spans="1:9" ht="28.05" customHeight="1" x14ac:dyDescent="0.2">
      <c r="A1" s="43" t="s">
        <v>128</v>
      </c>
      <c r="B1" s="44"/>
      <c r="C1" s="44"/>
      <c r="D1" s="44"/>
      <c r="E1" s="44"/>
      <c r="F1" s="44"/>
      <c r="G1" s="44"/>
      <c r="H1" s="44"/>
      <c r="I1" s="45"/>
    </row>
    <row r="2" spans="1:9" ht="22.05" customHeight="1" x14ac:dyDescent="0.2">
      <c r="A2" s="15" t="s">
        <v>129</v>
      </c>
      <c r="B2" s="16" t="s">
        <v>300</v>
      </c>
      <c r="C2" s="57" t="s">
        <v>131</v>
      </c>
      <c r="D2" s="44"/>
      <c r="E2" s="44"/>
      <c r="F2" s="44"/>
      <c r="G2" s="44"/>
      <c r="H2" s="44"/>
      <c r="I2" s="45"/>
    </row>
    <row r="3" spans="1:9" ht="18" customHeight="1" x14ac:dyDescent="0.2">
      <c r="A3" s="17" t="s">
        <v>132</v>
      </c>
      <c r="B3" s="61" t="s">
        <v>133</v>
      </c>
      <c r="C3" s="45"/>
      <c r="D3" s="58" t="s">
        <v>134</v>
      </c>
      <c r="E3" s="45"/>
      <c r="F3" s="60" t="s">
        <v>135</v>
      </c>
      <c r="G3" s="45"/>
      <c r="H3" s="59" t="s">
        <v>136</v>
      </c>
      <c r="I3" s="45"/>
    </row>
    <row r="4" spans="1:9" ht="36" customHeight="1" x14ac:dyDescent="0.2">
      <c r="A4" s="19" t="s">
        <v>137</v>
      </c>
      <c r="B4" s="19" t="s">
        <v>138</v>
      </c>
      <c r="C4" s="19" t="s">
        <v>139</v>
      </c>
      <c r="D4" s="19" t="s">
        <v>140</v>
      </c>
      <c r="E4" s="19" t="s">
        <v>141</v>
      </c>
      <c r="F4" s="19" t="s">
        <v>142</v>
      </c>
      <c r="G4" s="19" t="s">
        <v>143</v>
      </c>
      <c r="H4" s="19" t="s">
        <v>144</v>
      </c>
      <c r="I4" s="19" t="s">
        <v>145</v>
      </c>
    </row>
    <row r="5" spans="1:9" ht="18" customHeight="1" x14ac:dyDescent="0.2">
      <c r="A5" s="48" t="s">
        <v>146</v>
      </c>
      <c r="B5" s="44"/>
      <c r="C5" s="44"/>
      <c r="D5" s="44"/>
      <c r="E5" s="44"/>
      <c r="F5" s="44"/>
      <c r="G5" s="44"/>
      <c r="H5" s="44"/>
      <c r="I5" s="45"/>
    </row>
    <row r="6" spans="1:9" ht="18" customHeight="1" x14ac:dyDescent="0.2">
      <c r="A6" s="20" t="s">
        <v>147</v>
      </c>
      <c r="B6" s="21" t="s">
        <v>148</v>
      </c>
      <c r="C6" s="22">
        <f>IFERROR((IFERROR(損益計算書!B11,0))/(IFERROR(損益計算書!B4,0)),"")</f>
        <v>0.86583867003040305</v>
      </c>
      <c r="D6" s="22">
        <f>IFERROR((IFERROR(損益計算書!C11,0))/(IFERROR(損益計算書!C4,0)),"")</f>
        <v>0.86583867003040305</v>
      </c>
      <c r="E6" s="22">
        <f>IFERROR((IFERROR(損益計算書!D11,0))/(IFERROR(損益計算書!D4,0)),"")</f>
        <v>0.86583867003040305</v>
      </c>
      <c r="F6" s="23">
        <f>IFERROR(VLOOKUP($B$2,業界データ!$A:$O,2,0),"")</f>
        <v>0.6</v>
      </c>
      <c r="G6" s="22">
        <f>IFERROR(IF(OR(E6="",F6=""),"",E6-F6),"")</f>
        <v>0.26583867003040307</v>
      </c>
      <c r="H6" s="24" t="str">
        <f>IF(F6="","─",IF(ABS(G6)&gt;ABS(F6)*0.2,"●",IF(ABS(G6)&gt;ABS(F6)*0.1,"△","○")))</f>
        <v>●</v>
      </c>
      <c r="I6" s="25" t="str">
        <f>IF(F6="","",IF(ABS(G6)&gt;ABS(F6)*0.2,IF(G6&gt;0,"売上総利益率が業界平均より大幅に高い","売上総利益率が業界平均より大幅に低い"),"正常範囲"))</f>
        <v>売上総利益率が業界平均より大幅に高い</v>
      </c>
    </row>
    <row r="7" spans="1:9" ht="18" customHeight="1" x14ac:dyDescent="0.2">
      <c r="A7" s="20" t="s">
        <v>149</v>
      </c>
      <c r="B7" s="21" t="s">
        <v>150</v>
      </c>
      <c r="C7" s="22">
        <f>IFERROR((IFERROR(損益計算書!B13,0))/(IFERROR(損益計算書!B4,0)),"")</f>
        <v>-1.1423119218578175</v>
      </c>
      <c r="D7" s="22">
        <f>IFERROR((IFERROR(損益計算書!C13,0))/(IFERROR(損益計算書!C4,0)),"")</f>
        <v>-1.1423119218578175</v>
      </c>
      <c r="E7" s="22">
        <f>IFERROR((IFERROR(損益計算書!D13,0))/(IFERROR(損益計算書!D4,0)),"")</f>
        <v>-1.1423119218578175</v>
      </c>
      <c r="F7" s="23">
        <f>IFERROR(VLOOKUP($B$2,業界データ!$A:$O,3,0),"")</f>
        <v>0.05</v>
      </c>
      <c r="G7" s="22">
        <f>IFERROR(IF(OR(E7="",F7=""),"",E7-F7),"")</f>
        <v>-1.1923119218578175</v>
      </c>
      <c r="H7" s="24" t="str">
        <f>IF(F7="","─",IF(ABS(G7)&gt;ABS(F7)*0.2,"●",IF(ABS(G7)&gt;ABS(F7)*0.1,"△","○")))</f>
        <v>●</v>
      </c>
      <c r="I7" s="25" t="str">
        <f>IF(F7="","",IF(ABS(G7)&gt;ABS(F7)*0.2,IF(G7&gt;0,"営業利益率が業界平均より大幅に高い","営業利益率が業界平均より大幅に低い"),"正常範囲"))</f>
        <v>営業利益率が業界平均より大幅に低い</v>
      </c>
    </row>
    <row r="8" spans="1:9" ht="18" customHeight="1" x14ac:dyDescent="0.2">
      <c r="A8" s="20" t="s">
        <v>151</v>
      </c>
      <c r="B8" s="21" t="s">
        <v>152</v>
      </c>
      <c r="C8" s="22">
        <f>IFERROR((IFERROR(損益計算書!B24,0))/(IFERROR(損益計算書!B4,0)),"")</f>
        <v>-1.048353709813054</v>
      </c>
      <c r="D8" s="22">
        <f>IFERROR((IFERROR(損益計算書!C24,0))/(IFERROR(損益計算書!C4,0)),"")</f>
        <v>-1.048353709813054</v>
      </c>
      <c r="E8" s="22">
        <f>IFERROR((IFERROR(損益計算書!D24,0))/(IFERROR(損益計算書!D4,0)),"")</f>
        <v>-1.048353709813054</v>
      </c>
      <c r="F8" s="23">
        <f>IFERROR(VLOOKUP($B$2,業界データ!$A:$O,4,0),"")</f>
        <v>0.06</v>
      </c>
      <c r="G8" s="22">
        <f>IFERROR(IF(OR(E8="",F8=""),"",E8-F8),"")</f>
        <v>-1.108353709813054</v>
      </c>
      <c r="H8" s="24" t="str">
        <f>IF(F8="","─",IF(ABS(G8)&gt;ABS(F8)*0.2,"●",IF(ABS(G8)&gt;ABS(F8)*0.1,"△","○")))</f>
        <v>●</v>
      </c>
      <c r="I8" s="25" t="str">
        <f>IF(F8="","",IF(ABS(G8)&gt;ABS(F8)*0.2,IF(G8&gt;0,"経常利益率が業界平均より大幅に高い","経常利益率が業界平均より大幅に低い"),"正常範囲"))</f>
        <v>経常利益率が業界平均より大幅に低い</v>
      </c>
    </row>
    <row r="9" spans="1:9" ht="18" customHeight="1" x14ac:dyDescent="0.2">
      <c r="A9" s="20" t="s">
        <v>153</v>
      </c>
      <c r="B9" s="21" t="s">
        <v>154</v>
      </c>
      <c r="C9" s="22">
        <f>IFERROR((IFERROR(損益計算書!B36,0))/(IFERROR(損益計算書!B4,0)),"")</f>
        <v>-1.0493240183711754</v>
      </c>
      <c r="D9" s="22">
        <f>IFERROR((IFERROR(損益計算書!C36,0))/(IFERROR(損益計算書!C4,0)),"")</f>
        <v>-1.0493240183711754</v>
      </c>
      <c r="E9" s="22">
        <f>IFERROR((IFERROR(損益計算書!D36,0))/(IFERROR(損益計算書!D4,0)),"")</f>
        <v>-1.0493240183711754</v>
      </c>
      <c r="F9" s="23">
        <f>IFERROR(VLOOKUP($B$2,業界データ!$A:$O,5,0),"")</f>
        <v>0.04</v>
      </c>
      <c r="G9" s="22">
        <f>IFERROR(IF(OR(E9="",F9=""),"",E9-F9),"")</f>
        <v>-1.0893240183711754</v>
      </c>
      <c r="H9" s="24" t="str">
        <f>IF(F9="","─",IF(ABS(G9)&gt;ABS(F9)*0.2,"●",IF(ABS(G9)&gt;ABS(F9)*0.1,"△","○")))</f>
        <v>●</v>
      </c>
      <c r="I9" s="25" t="str">
        <f>IF(F9="","",IF(ABS(G9)&gt;ABS(F9)*0.2,IF(G9&gt;0,"純利益率が業界平均より大幅に高い","純利益率が業界平均より大幅に低い"),"正常範囲"))</f>
        <v>純利益率が業界平均より大幅に低い</v>
      </c>
    </row>
    <row r="10" spans="1:9" ht="18" customHeight="1" x14ac:dyDescent="0.2">
      <c r="A10" s="20" t="s">
        <v>155</v>
      </c>
      <c r="B10" s="21" t="s">
        <v>156</v>
      </c>
      <c r="C10" s="22">
        <f>IFERROR((IFERROR(販売費及び一般管理費!B4,0))/(IFERROR(損益計算書!B4,0)),"")</f>
        <v>0.80208939776182164</v>
      </c>
      <c r="D10" s="22">
        <f>IFERROR((IFERROR(販売費及び一般管理費!C4,0))/(IFERROR(損益計算書!C4,0)),"")</f>
        <v>0.80208939776182164</v>
      </c>
      <c r="E10" s="22">
        <f>IFERROR((IFERROR(販売費及び一般管理費!D4,0))/(IFERROR(損益計算書!D4,0)),"")</f>
        <v>0.80208939776182164</v>
      </c>
      <c r="F10" s="23">
        <f>IFERROR(VLOOKUP($B$2,業界データ!$A:$O,9,0),"")</f>
        <v>0.4</v>
      </c>
      <c r="G10" s="22">
        <f>IFERROR(IF(OR(E10="",F10=""),"",E10-F10),"")</f>
        <v>0.40208939776182162</v>
      </c>
      <c r="H10" s="24" t="str">
        <f>IF(F10="","─",IF(ABS(G10)&gt;ABS(F10)*0.2,"●",IF(ABS(G10)&gt;ABS(F10)*0.1,"△","○")))</f>
        <v>●</v>
      </c>
      <c r="I10" s="25" t="str">
        <f>IF(F10="","",IF(ABS(G10)&gt;ABS(F10)*0.2,IF(G10&gt;0,"人件費率が業界平均より大幅に低い","人件費率が業界平均より大幅に高い"),"正常範囲"))</f>
        <v>人件費率が業界平均より大幅に低い</v>
      </c>
    </row>
    <row r="12" spans="1:9" ht="18" customHeight="1" x14ac:dyDescent="0.2">
      <c r="A12" s="48" t="s">
        <v>157</v>
      </c>
      <c r="B12" s="44"/>
      <c r="C12" s="44"/>
      <c r="D12" s="44"/>
      <c r="E12" s="44"/>
      <c r="F12" s="44"/>
      <c r="G12" s="44"/>
      <c r="H12" s="44"/>
      <c r="I12" s="45"/>
    </row>
    <row r="13" spans="1:9" ht="18" customHeight="1" x14ac:dyDescent="0.2">
      <c r="A13" s="20" t="s">
        <v>158</v>
      </c>
      <c r="B13" s="21" t="s">
        <v>159</v>
      </c>
      <c r="C13" s="22">
        <f>IFERROR(貸借対照表!B60/貸借対照表!B29,"")</f>
        <v>-0.78901908481788452</v>
      </c>
      <c r="D13" s="22">
        <f>IFERROR(貸借対照表!C60/貸借対照表!C29,"")</f>
        <v>-0.78901908481788452</v>
      </c>
      <c r="E13" s="22">
        <f>IFERROR(貸借対照表!D60/貸借対照表!D29,"")</f>
        <v>-0.78901908481788452</v>
      </c>
      <c r="F13" s="23">
        <f>IFERROR(VLOOKUP($B$2,業界データ!$A:$O,6,0),"")</f>
        <v>0.35</v>
      </c>
      <c r="G13" s="22">
        <f>IFERROR(IF(OR(E13="",F13=""),"",E13-F13),"")</f>
        <v>-1.1390190848178845</v>
      </c>
      <c r="H13" s="24" t="str">
        <f>IF(F13="","─",IF(ABS(G13)&gt;ABS(F13)*0.2,"●",IF(ABS(G13)&gt;ABS(F13)*0.1,"△","○")))</f>
        <v>●</v>
      </c>
      <c r="I13" s="25" t="str">
        <f>IF(F13="","",IF(ABS(G13)&gt;ABS(F13)*0.2,IF(G13&gt;0,"自己資本比率が業界平均より大幅に高い","自己資本比率が業界平均より大幅に低い"),"正常範囲"))</f>
        <v>自己資本比率が業界平均より大幅に低い</v>
      </c>
    </row>
    <row r="14" spans="1:9" ht="18" customHeight="1" x14ac:dyDescent="0.2">
      <c r="A14" s="20" t="s">
        <v>160</v>
      </c>
      <c r="B14" s="21" t="s">
        <v>161</v>
      </c>
      <c r="C14" s="22">
        <f>IFERROR(貸借対照表!B14/IF(貸借対照表!B43=0,1,貸借対照表!B43),"")</f>
        <v>0.32595537726974211</v>
      </c>
      <c r="D14" s="22">
        <f>IFERROR(貸借対照表!C14/IF(貸借対照表!C43=0,1,貸借対照表!C43),"")</f>
        <v>0.32595537726974211</v>
      </c>
      <c r="E14" s="22">
        <f>IFERROR(貸借対照表!D14/IF(貸借対照表!D43=0,1,貸借対照表!D43),"")</f>
        <v>0.32595537726974211</v>
      </c>
      <c r="F14" s="23">
        <f>IFERROR(VLOOKUP($B$2,業界データ!$A:$O,7,0),"")</f>
        <v>1.4</v>
      </c>
      <c r="G14" s="22">
        <f>IFERROR(IF(OR(E14="",F14=""),"",E14-F14),"")</f>
        <v>-1.0740446227302578</v>
      </c>
      <c r="H14" s="24" t="str">
        <f>IF(F14="","─",IF(ABS(G14)&gt;ABS(F14)*0.2,"●",IF(ABS(G14)&gt;ABS(F14)*0.1,"△","○")))</f>
        <v>●</v>
      </c>
      <c r="I14" s="25" t="str">
        <f>IF(F14="","",IF(ABS(G14)&gt;ABS(F14)*0.2,IF(G14&gt;0,"流動比率が業界平均より大幅に高い","流動比率が業界平均より大幅に低い"),"正常範囲"))</f>
        <v>流動比率が業界平均より大幅に低い</v>
      </c>
    </row>
    <row r="15" spans="1:9" ht="18" customHeight="1" x14ac:dyDescent="0.2">
      <c r="A15" s="20" t="s">
        <v>162</v>
      </c>
      <c r="B15" s="21" t="s">
        <v>163</v>
      </c>
      <c r="C15" s="22">
        <f>IFERROR(貸借対照表!B28/IF(貸借対照表!B60=0,1,貸借対照表!B60),"")</f>
        <v>-0.52827303094941036</v>
      </c>
      <c r="D15" s="22">
        <f>IFERROR(貸借対照表!C28/IF(貸借対照表!C60=0,1,貸借対照表!C60),"")</f>
        <v>-0.52827303094941036</v>
      </c>
      <c r="E15" s="22">
        <f>IFERROR(貸借対照表!D28/IF(貸借対照表!D60=0,1,貸借対照表!D60),"")</f>
        <v>-0.52827303094941036</v>
      </c>
      <c r="F15" s="23">
        <f>IFERROR(VLOOKUP($B$2,業界データ!$A:$O,8,0),"")</f>
        <v>0.6</v>
      </c>
      <c r="G15" s="22">
        <f>IFERROR(IF(OR(E15="",F15=""),"",E15-F15),"")</f>
        <v>-1.1282730309494102</v>
      </c>
      <c r="H15" s="24" t="str">
        <f>IF(F15="","─",IF(ABS(G15)&gt;ABS(F15)*0.2,"●",IF(ABS(G15)&gt;ABS(F15)*0.1,"△","○")))</f>
        <v>●</v>
      </c>
      <c r="I15" s="25" t="str">
        <f>IF(F15="","",IF(ABS(G15)&gt;ABS(F15)*0.2,IF(G15&gt;0,"固定比率が業界平均より大幅に低い","固定比率が業界平均より大幅に高い"),"正常範囲"))</f>
        <v>固定比率が業界平均より大幅に高い</v>
      </c>
    </row>
    <row r="16" spans="1:9" ht="18" customHeight="1" x14ac:dyDescent="0.2">
      <c r="A16" s="20" t="s">
        <v>164</v>
      </c>
      <c r="B16" s="21" t="s">
        <v>165</v>
      </c>
      <c r="C16" s="22">
        <f>IFERROR(損益計算書!B24/IF(貸借対照表!B29=0,1,貸借対照表!B29),"")</f>
        <v>-1.0292782064716903</v>
      </c>
      <c r="D16" s="22">
        <f>IFERROR(損益計算書!C24/IF(貸借対照表!C29=0,1,貸借対照表!C29),"")</f>
        <v>-1.0292782064716903</v>
      </c>
      <c r="E16" s="22">
        <f>IFERROR(損益計算書!D24/IF(貸借対照表!D29=0,1,貸借対照表!D29),"")</f>
        <v>-1.0292782064716903</v>
      </c>
      <c r="F16" s="23">
        <f>IFERROR(VLOOKUP($B$2,業界データ!$A:$O,10,0),"")</f>
        <v>0.04</v>
      </c>
      <c r="G16" s="22">
        <f>IFERROR(IF(OR(E16="",F16=""),"",E16-F16),"")</f>
        <v>-1.0692782064716904</v>
      </c>
      <c r="H16" s="24" t="str">
        <f>IF(F16="","─",IF(ABS(G16)&gt;ABS(F16)*0.2,"●",IF(ABS(G16)&gt;ABS(F16)*0.1,"△","○")))</f>
        <v>●</v>
      </c>
      <c r="I16" s="25" t="str">
        <f>IF(F16="","",IF(ABS(G16)&gt;ABS(F16)*0.2,IF(G16&gt;0,"ROAが業界平均より大幅に高い","ROAが業界平均より大幅に低い"),"正常範囲"))</f>
        <v>ROAが業界平均より大幅に低い</v>
      </c>
    </row>
    <row r="17" spans="1:9" ht="18" customHeight="1" x14ac:dyDescent="0.2">
      <c r="A17" s="20" t="s">
        <v>166</v>
      </c>
      <c r="B17" s="21" t="s">
        <v>167</v>
      </c>
      <c r="C17" s="22">
        <f>IFERROR(損益計算書!B36/IF(貸借対照表!B60=0,1,貸借対照表!B60),"")</f>
        <v>1.3057109510202438</v>
      </c>
      <c r="D17" s="22">
        <f>IFERROR(損益計算書!C36/IF(貸借対照表!C60=0,1,貸借対照表!C60),"")</f>
        <v>1.3057109510202438</v>
      </c>
      <c r="E17" s="22">
        <f>IFERROR(損益計算書!D36/IF(貸借対照表!D60=0,1,貸借対照表!D60),"")</f>
        <v>1.3057109510202438</v>
      </c>
      <c r="F17" s="23">
        <f>IFERROR(VLOOKUP($B$2,業界データ!$A:$O,11,0),"")</f>
        <v>0.1</v>
      </c>
      <c r="G17" s="22">
        <f>IFERROR(IF(OR(E17="",F17=""),"",E17-F17),"")</f>
        <v>1.2057109510202437</v>
      </c>
      <c r="H17" s="24" t="str">
        <f>IF(F17="","─",IF(ABS(G17)&gt;ABS(F17)*0.2,"●",IF(ABS(G17)&gt;ABS(F17)*0.1,"△","○")))</f>
        <v>●</v>
      </c>
      <c r="I17" s="25" t="str">
        <f>IF(F17="","",IF(ABS(G17)&gt;ABS(F17)*0.2,IF(G17&gt;0,"ROEが業界平均より大幅に高い","ROEが業界平均より大幅に低い"),"正常範囲"))</f>
        <v>ROEが業界平均より大幅に高い</v>
      </c>
    </row>
    <row r="19" spans="1:9" ht="18" customHeight="1" x14ac:dyDescent="0.2">
      <c r="A19" s="48" t="s">
        <v>168</v>
      </c>
      <c r="B19" s="44"/>
      <c r="C19" s="44"/>
      <c r="D19" s="44"/>
      <c r="E19" s="44"/>
      <c r="F19" s="44"/>
      <c r="G19" s="44"/>
      <c r="H19" s="44"/>
      <c r="I19" s="45"/>
    </row>
    <row r="20" spans="1:9" ht="18" customHeight="1" x14ac:dyDescent="0.2">
      <c r="A20" s="20" t="s">
        <v>169</v>
      </c>
      <c r="B20" s="21" t="s">
        <v>170</v>
      </c>
      <c r="C20" s="26" t="s">
        <v>171</v>
      </c>
      <c r="D20" s="22">
        <f>IFERROR(IF(OR(損益計算書!C4="",損益計算書!B4=0),"",(損益計算書!C4-損益計算書!B4)/損益計算書!B4),"")</f>
        <v>0</v>
      </c>
      <c r="E20" s="26" t="s">
        <v>171</v>
      </c>
      <c r="F20" s="27" t="s">
        <v>171</v>
      </c>
      <c r="G20" s="22" t="str">
        <f>IFERROR(IF(OR(D20="",F20="","─"=F20),"",D20-F20),"")</f>
        <v/>
      </c>
      <c r="H20" s="28" t="str">
        <f>IF(OR(G20="","─"=G20),"─","○")</f>
        <v>─</v>
      </c>
      <c r="I20" s="29" t="str">
        <f>IF(OR(G20="","─"=G20),"",IF(D20&gt;0,"売上高が成長しています","売上高が減少しています"))</f>
        <v/>
      </c>
    </row>
    <row r="21" spans="1:9" ht="18" customHeight="1" x14ac:dyDescent="0.2">
      <c r="A21" s="20" t="s">
        <v>172</v>
      </c>
      <c r="B21" s="21" t="s">
        <v>173</v>
      </c>
      <c r="C21" s="26" t="s">
        <v>171</v>
      </c>
      <c r="D21" s="26" t="s">
        <v>171</v>
      </c>
      <c r="E21" s="22">
        <f>IFERROR(IF(OR(損益計算書!D4="",損益計算書!C4=0),"",(損益計算書!D4-損益計算書!C4)/損益計算書!C4),"")</f>
        <v>0</v>
      </c>
      <c r="F21" s="23">
        <f>IFERROR(VLOOKUP($B$2,業界データ!$A:$O,12,0),"")</f>
        <v>8</v>
      </c>
      <c r="G21" s="22">
        <f>IFERROR(IF(OR(E21="",F21="","─"=F21),"",E21-F21),"")</f>
        <v>-8</v>
      </c>
      <c r="H21" s="28" t="str">
        <f>IF(OR(G21="","─"=G21),"─","○")</f>
        <v>○</v>
      </c>
      <c r="I21" s="29" t="str">
        <f>IF(OR(G21="","─"=G21),"",IF(E21&gt;0,"売上高が成長しています","売上高が減少しています"))</f>
        <v>売上高が減少しています</v>
      </c>
    </row>
    <row r="23" spans="1:9" ht="18" customHeight="1" x14ac:dyDescent="0.2">
      <c r="A23" s="48" t="s">
        <v>174</v>
      </c>
      <c r="B23" s="44"/>
      <c r="C23" s="44"/>
      <c r="D23" s="44"/>
      <c r="E23" s="44"/>
      <c r="F23" s="44"/>
      <c r="G23" s="44"/>
      <c r="H23" s="44"/>
      <c r="I23" s="45"/>
    </row>
    <row r="24" spans="1:9" ht="18" customHeight="1" x14ac:dyDescent="0.2">
      <c r="A24" s="20" t="s">
        <v>66</v>
      </c>
      <c r="B24" s="30" t="s">
        <v>175</v>
      </c>
      <c r="C24" s="31">
        <f>IFERROR(損益計算書!B4,"")</f>
        <v>30918</v>
      </c>
      <c r="D24" s="31">
        <f>IFERROR(損益計算書!C4,"")</f>
        <v>30918</v>
      </c>
      <c r="E24" s="31">
        <f>IFERROR(損益計算書!D4,"")</f>
        <v>30918</v>
      </c>
      <c r="F24" s="18" t="s">
        <v>171</v>
      </c>
      <c r="G24" s="18" t="s">
        <v>171</v>
      </c>
      <c r="H24" s="18" t="s">
        <v>171</v>
      </c>
      <c r="I24" s="18" t="s">
        <v>171</v>
      </c>
    </row>
    <row r="25" spans="1:9" ht="18" customHeight="1" x14ac:dyDescent="0.2">
      <c r="A25" s="20" t="s">
        <v>176</v>
      </c>
      <c r="B25" s="30" t="s">
        <v>175</v>
      </c>
      <c r="C25" s="31">
        <f>IFERROR(損益計算書!B11,"")</f>
        <v>26770</v>
      </c>
      <c r="D25" s="31">
        <f>IFERROR(損益計算書!C11,"")</f>
        <v>26770</v>
      </c>
      <c r="E25" s="31">
        <f>IFERROR(損益計算書!D11,"")</f>
        <v>26770</v>
      </c>
      <c r="F25" s="18" t="s">
        <v>171</v>
      </c>
      <c r="G25" s="18" t="s">
        <v>171</v>
      </c>
      <c r="H25" s="18" t="s">
        <v>171</v>
      </c>
      <c r="I25" s="18" t="s">
        <v>171</v>
      </c>
    </row>
    <row r="26" spans="1:9" ht="18" customHeight="1" x14ac:dyDescent="0.2">
      <c r="A26" s="20" t="s">
        <v>177</v>
      </c>
      <c r="B26" s="30" t="s">
        <v>175</v>
      </c>
      <c r="C26" s="31">
        <f>IFERROR(損益計算書!B13,"")</f>
        <v>-35318</v>
      </c>
      <c r="D26" s="31">
        <f>IFERROR(損益計算書!C13,"")</f>
        <v>-35318</v>
      </c>
      <c r="E26" s="31">
        <f>IFERROR(損益計算書!D13,"")</f>
        <v>-35318</v>
      </c>
      <c r="F26" s="18" t="s">
        <v>171</v>
      </c>
      <c r="G26" s="18" t="s">
        <v>171</v>
      </c>
      <c r="H26" s="18" t="s">
        <v>171</v>
      </c>
      <c r="I26" s="18" t="s">
        <v>171</v>
      </c>
    </row>
    <row r="27" spans="1:9" ht="18" customHeight="1" x14ac:dyDescent="0.2">
      <c r="A27" s="20" t="s">
        <v>178</v>
      </c>
      <c r="B27" s="30" t="s">
        <v>175</v>
      </c>
      <c r="C27" s="31">
        <f>IFERROR(損益計算書!B24,"")</f>
        <v>-32413</v>
      </c>
      <c r="D27" s="31">
        <f>IFERROR(損益計算書!C24,"")</f>
        <v>-32413</v>
      </c>
      <c r="E27" s="31">
        <f>IFERROR(損益計算書!D24,"")</f>
        <v>-32413</v>
      </c>
      <c r="F27" s="18" t="s">
        <v>171</v>
      </c>
      <c r="G27" s="18" t="s">
        <v>171</v>
      </c>
      <c r="H27" s="18" t="s">
        <v>171</v>
      </c>
      <c r="I27" s="18" t="s">
        <v>171</v>
      </c>
    </row>
    <row r="28" spans="1:9" ht="18" customHeight="1" x14ac:dyDescent="0.2">
      <c r="A28" s="20" t="s">
        <v>179</v>
      </c>
      <c r="B28" s="30" t="s">
        <v>175</v>
      </c>
      <c r="C28" s="31">
        <f>IFERROR(損益計算書!B36,"")</f>
        <v>-32443</v>
      </c>
      <c r="D28" s="31">
        <f>IFERROR(損益計算書!C36,"")</f>
        <v>-32443</v>
      </c>
      <c r="E28" s="31">
        <f>IFERROR(損益計算書!D36,"")</f>
        <v>-32443</v>
      </c>
      <c r="F28" s="18" t="s">
        <v>171</v>
      </c>
      <c r="G28" s="18" t="s">
        <v>171</v>
      </c>
      <c r="H28" s="18" t="s">
        <v>171</v>
      </c>
      <c r="I28" s="18" t="s">
        <v>171</v>
      </c>
    </row>
    <row r="29" spans="1:9" ht="18" customHeight="1" x14ac:dyDescent="0.2">
      <c r="A29" s="20" t="s">
        <v>180</v>
      </c>
      <c r="B29" s="30" t="s">
        <v>175</v>
      </c>
      <c r="C29" s="31">
        <f>IFERROR(貸借対照表!B60,"")</f>
        <v>-24847</v>
      </c>
      <c r="D29" s="31">
        <f>IFERROR(貸借対照表!C60,"")</f>
        <v>-24847</v>
      </c>
      <c r="E29" s="31">
        <f>IFERROR(貸借対照表!D60,"")</f>
        <v>-24847</v>
      </c>
      <c r="F29" s="18" t="s">
        <v>171</v>
      </c>
      <c r="G29" s="18" t="s">
        <v>171</v>
      </c>
      <c r="H29" s="18" t="s">
        <v>171</v>
      </c>
      <c r="I29" s="18" t="s">
        <v>171</v>
      </c>
    </row>
    <row r="30" spans="1:9" ht="18" customHeight="1" x14ac:dyDescent="0.2">
      <c r="A30" s="20" t="s">
        <v>33</v>
      </c>
      <c r="B30" s="30" t="s">
        <v>175</v>
      </c>
      <c r="C30" s="31">
        <f>IFERROR(貸借対照表!B29,"")</f>
        <v>31491</v>
      </c>
      <c r="D30" s="31">
        <f>IFERROR(貸借対照表!C29,"")</f>
        <v>31491</v>
      </c>
      <c r="E30" s="31">
        <f>IFERROR(貸借対照表!D29,"")</f>
        <v>31491</v>
      </c>
      <c r="F30" s="18" t="s">
        <v>171</v>
      </c>
      <c r="G30" s="18" t="s">
        <v>171</v>
      </c>
      <c r="H30" s="18" t="s">
        <v>171</v>
      </c>
      <c r="I30" s="18" t="s">
        <v>171</v>
      </c>
    </row>
    <row r="32" spans="1:9" ht="60" customHeight="1" x14ac:dyDescent="0.2">
      <c r="A32" s="52" t="s">
        <v>181</v>
      </c>
      <c r="B32" s="44"/>
      <c r="C32" s="44"/>
      <c r="D32" s="44"/>
      <c r="E32" s="44"/>
      <c r="F32" s="44"/>
      <c r="G32" s="44"/>
      <c r="H32" s="44"/>
      <c r="I32" s="45"/>
    </row>
  </sheetData>
  <mergeCells count="11">
    <mergeCell ref="A32:I32"/>
    <mergeCell ref="A1:I1"/>
    <mergeCell ref="A23:I23"/>
    <mergeCell ref="C2:I2"/>
    <mergeCell ref="A12:I12"/>
    <mergeCell ref="D3:E3"/>
    <mergeCell ref="H3:I3"/>
    <mergeCell ref="F3:G3"/>
    <mergeCell ref="A19:I19"/>
    <mergeCell ref="A5:I5"/>
    <mergeCell ref="B3:C3"/>
  </mergeCells>
  <phoneticPr fontId="20"/>
  <conditionalFormatting sqref="G5:G31">
    <cfRule type="expression" dxfId="6" priority="4">
      <formula>AND(NOT(ISBLANK(G5)),G5&gt;0.05)</formula>
    </cfRule>
    <cfRule type="expression" dxfId="5" priority="5">
      <formula>AND(NOT(ISBLANK(G5)),G5&lt;-0.05)</formula>
    </cfRule>
  </conditionalFormatting>
  <conditionalFormatting sqref="H5:H31">
    <cfRule type="cellIs" dxfId="4" priority="1" operator="equal">
      <formula>"●"</formula>
    </cfRule>
    <cfRule type="cellIs" dxfId="3" priority="2" operator="equal">
      <formula>"△"</formula>
    </cfRule>
    <cfRule type="cellIs" dxfId="2" priority="3" operator="equal">
      <formula>"○"</formula>
    </cfRule>
  </conditionalFormatting>
  <dataValidations count="1">
    <dataValidation type="list" sqref="B2" xr:uid="{00000000-0002-0000-0300-000000000000}">
      <formula1>"IT・情報通信,サービス業,製造業,卸売業,小売業,建設業,飲食業,不動産業"</formula1>
    </dataValidation>
  </dataValidations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5"/>
  <sheetViews>
    <sheetView workbookViewId="0">
      <pane ySplit="3" topLeftCell="A4" activePane="bottomLeft" state="frozen"/>
      <selection pane="bottomLeft" sqref="A1:F1"/>
    </sheetView>
  </sheetViews>
  <sheetFormatPr defaultRowHeight="13.2" x14ac:dyDescent="0.2"/>
  <cols>
    <col min="1" max="1" width="30" customWidth="1"/>
    <col min="2" max="2" width="25" customWidth="1"/>
    <col min="3" max="6" width="16" customWidth="1"/>
  </cols>
  <sheetData>
    <row r="1" spans="1:6" ht="28.05" customHeight="1" x14ac:dyDescent="0.2">
      <c r="A1" s="43" t="s">
        <v>182</v>
      </c>
      <c r="B1" s="44"/>
      <c r="C1" s="44"/>
      <c r="D1" s="44"/>
      <c r="E1" s="44"/>
      <c r="F1" s="45"/>
    </row>
    <row r="2" spans="1:6" ht="16.05" customHeight="1" x14ac:dyDescent="0.2">
      <c r="A2" s="49" t="s">
        <v>183</v>
      </c>
      <c r="B2" s="47"/>
      <c r="C2" s="47"/>
      <c r="D2" s="47"/>
      <c r="E2" s="47"/>
      <c r="F2" s="47"/>
    </row>
    <row r="3" spans="1:6" ht="19.95" customHeight="1" x14ac:dyDescent="0.2">
      <c r="A3" s="48" t="s">
        <v>184</v>
      </c>
      <c r="B3" s="44"/>
      <c r="C3" s="44"/>
      <c r="D3" s="44"/>
      <c r="E3" s="44"/>
      <c r="F3" s="45"/>
    </row>
    <row r="4" spans="1:6" ht="16.95" customHeight="1" x14ac:dyDescent="0.2">
      <c r="A4" s="32" t="s">
        <v>66</v>
      </c>
      <c r="B4" s="33">
        <f>IFERROR(損益計算書!D4,0)</f>
        <v>30918</v>
      </c>
      <c r="C4" s="46" t="s">
        <v>185</v>
      </c>
      <c r="D4" s="44"/>
      <c r="E4" s="44"/>
      <c r="F4" s="45"/>
    </row>
    <row r="5" spans="1:6" ht="16.95" customHeight="1" x14ac:dyDescent="0.2">
      <c r="A5" s="32" t="s">
        <v>176</v>
      </c>
      <c r="B5" s="33">
        <f>IFERROR(損益計算書!D11,0)</f>
        <v>26770</v>
      </c>
      <c r="C5" s="46" t="s">
        <v>185</v>
      </c>
      <c r="D5" s="44"/>
      <c r="E5" s="44"/>
      <c r="F5" s="45"/>
    </row>
    <row r="6" spans="1:6" ht="16.95" customHeight="1" x14ac:dyDescent="0.2">
      <c r="A6" s="32" t="s">
        <v>177</v>
      </c>
      <c r="B6" s="33">
        <f>IFERROR(損益計算書!D13,0)</f>
        <v>-35318</v>
      </c>
      <c r="C6" s="46" t="s">
        <v>185</v>
      </c>
      <c r="D6" s="44"/>
      <c r="E6" s="44"/>
      <c r="F6" s="45"/>
    </row>
    <row r="7" spans="1:6" ht="16.95" customHeight="1" x14ac:dyDescent="0.2">
      <c r="A7" s="32" t="s">
        <v>178</v>
      </c>
      <c r="B7" s="33">
        <f>IFERROR(損益計算書!D24,0)</f>
        <v>-32413</v>
      </c>
      <c r="C7" s="46" t="s">
        <v>185</v>
      </c>
      <c r="D7" s="44"/>
      <c r="E7" s="44"/>
      <c r="F7" s="45"/>
    </row>
    <row r="8" spans="1:6" ht="16.95" customHeight="1" x14ac:dyDescent="0.2">
      <c r="A8" s="32" t="s">
        <v>179</v>
      </c>
      <c r="B8" s="33">
        <f>IFERROR(損益計算書!D36,0)</f>
        <v>-32443</v>
      </c>
      <c r="C8" s="46" t="s">
        <v>185</v>
      </c>
      <c r="D8" s="44"/>
      <c r="E8" s="44"/>
      <c r="F8" s="45"/>
    </row>
    <row r="9" spans="1:6" ht="16.95" customHeight="1" x14ac:dyDescent="0.2">
      <c r="A9" s="32" t="s">
        <v>186</v>
      </c>
      <c r="B9" s="33">
        <f>IFERROR(販売費及び一般管理費!D8,0)</f>
        <v>3799</v>
      </c>
      <c r="C9" s="46" t="s">
        <v>187</v>
      </c>
      <c r="D9" s="44"/>
      <c r="E9" s="44"/>
      <c r="F9" s="45"/>
    </row>
    <row r="10" spans="1:6" ht="16.95" customHeight="1" x14ac:dyDescent="0.2">
      <c r="A10" s="32" t="s">
        <v>188</v>
      </c>
      <c r="B10" s="33">
        <f>IFERROR(貸借対照表!D60,0)</f>
        <v>-24847</v>
      </c>
      <c r="C10" s="46" t="s">
        <v>189</v>
      </c>
      <c r="D10" s="44"/>
      <c r="E10" s="44"/>
      <c r="F10" s="45"/>
    </row>
    <row r="11" spans="1:6" ht="16.95" customHeight="1" x14ac:dyDescent="0.2">
      <c r="A11" s="32" t="s">
        <v>33</v>
      </c>
      <c r="B11" s="33">
        <f>IFERROR(貸借対照表!D29,0)</f>
        <v>31491</v>
      </c>
      <c r="C11" s="46" t="s">
        <v>189</v>
      </c>
      <c r="D11" s="44"/>
      <c r="E11" s="44"/>
      <c r="F11" s="45"/>
    </row>
    <row r="12" spans="1:6" ht="16.95" customHeight="1" x14ac:dyDescent="0.2">
      <c r="A12" s="32" t="s">
        <v>52</v>
      </c>
      <c r="B12" s="33">
        <f>IFERROR(貸借対照表!D49,0)</f>
        <v>56339</v>
      </c>
      <c r="C12" s="46" t="s">
        <v>189</v>
      </c>
      <c r="D12" s="44"/>
      <c r="E12" s="44"/>
      <c r="F12" s="45"/>
    </row>
    <row r="13" spans="1:6" ht="16.95" customHeight="1" x14ac:dyDescent="0.2">
      <c r="A13" s="32" t="s">
        <v>46</v>
      </c>
      <c r="B13" s="33">
        <f>IFERROR(貸借対照表!D43,0)</f>
        <v>56339</v>
      </c>
      <c r="C13" s="46" t="s">
        <v>189</v>
      </c>
      <c r="D13" s="44"/>
      <c r="E13" s="44"/>
      <c r="F13" s="45"/>
    </row>
    <row r="14" spans="1:6" ht="16.95" customHeight="1" x14ac:dyDescent="0.2">
      <c r="A14" s="32" t="s">
        <v>51</v>
      </c>
      <c r="B14" s="33">
        <f>IFERROR(貸借対照表!D48,0)</f>
        <v>0</v>
      </c>
      <c r="C14" s="46" t="s">
        <v>189</v>
      </c>
      <c r="D14" s="44"/>
      <c r="E14" s="44"/>
      <c r="F14" s="45"/>
    </row>
    <row r="15" spans="1:6" ht="6" customHeight="1" x14ac:dyDescent="0.2">
      <c r="A15" s="48"/>
      <c r="B15" s="44"/>
      <c r="C15" s="44"/>
      <c r="D15" s="44"/>
      <c r="E15" s="44"/>
      <c r="F15" s="45"/>
    </row>
    <row r="16" spans="1:6" ht="16.95" customHeight="1" x14ac:dyDescent="0.2">
      <c r="A16" s="15" t="s">
        <v>190</v>
      </c>
      <c r="B16" s="34">
        <f>B6+B9</f>
        <v>-31519</v>
      </c>
      <c r="C16" s="46" t="s">
        <v>191</v>
      </c>
      <c r="D16" s="44"/>
      <c r="E16" s="44"/>
      <c r="F16" s="45"/>
    </row>
    <row r="17" spans="1:6" ht="16.95" customHeight="1" x14ac:dyDescent="0.2">
      <c r="A17" s="32" t="s">
        <v>192</v>
      </c>
      <c r="B17" s="33">
        <f>B14+B13</f>
        <v>56339</v>
      </c>
      <c r="C17" s="46" t="s">
        <v>193</v>
      </c>
      <c r="D17" s="44"/>
      <c r="E17" s="44"/>
      <c r="F17" s="45"/>
    </row>
    <row r="18" spans="1:6" ht="16.95" customHeight="1" x14ac:dyDescent="0.2">
      <c r="A18" s="35" t="s">
        <v>194</v>
      </c>
      <c r="B18" s="36">
        <v>0.3</v>
      </c>
      <c r="C18" s="46" t="s">
        <v>195</v>
      </c>
      <c r="D18" s="44"/>
      <c r="E18" s="44"/>
      <c r="F18" s="45"/>
    </row>
    <row r="20" spans="1:6" ht="19.95" customHeight="1" x14ac:dyDescent="0.2">
      <c r="A20" s="48" t="s">
        <v>196</v>
      </c>
      <c r="B20" s="44"/>
      <c r="C20" s="44"/>
      <c r="D20" s="44"/>
      <c r="E20" s="44"/>
      <c r="F20" s="45"/>
    </row>
    <row r="21" spans="1:6" ht="19.95" customHeight="1" x14ac:dyDescent="0.2">
      <c r="A21" s="19" t="s">
        <v>197</v>
      </c>
      <c r="B21" s="19" t="s">
        <v>198</v>
      </c>
      <c r="C21" s="19" t="s">
        <v>199</v>
      </c>
      <c r="D21" s="19"/>
      <c r="E21" s="19"/>
      <c r="F21" s="19"/>
    </row>
    <row r="22" spans="1:6" ht="16.95" customHeight="1" x14ac:dyDescent="0.2">
      <c r="A22" s="20" t="s">
        <v>200</v>
      </c>
      <c r="B22" s="37">
        <v>2</v>
      </c>
      <c r="C22" s="46" t="s">
        <v>201</v>
      </c>
      <c r="D22" s="44"/>
      <c r="E22" s="44"/>
      <c r="F22" s="45"/>
    </row>
    <row r="23" spans="1:6" ht="16.95" customHeight="1" x14ac:dyDescent="0.2">
      <c r="A23" s="20" t="s">
        <v>202</v>
      </c>
      <c r="B23" s="37">
        <v>4</v>
      </c>
      <c r="C23" s="46" t="s">
        <v>203</v>
      </c>
      <c r="D23" s="44"/>
      <c r="E23" s="44"/>
      <c r="F23" s="45"/>
    </row>
    <row r="24" spans="1:6" ht="16.95" customHeight="1" x14ac:dyDescent="0.2">
      <c r="A24" s="20" t="s">
        <v>204</v>
      </c>
      <c r="B24" s="37">
        <v>12.17</v>
      </c>
      <c r="C24" s="46" t="s">
        <v>205</v>
      </c>
      <c r="D24" s="44"/>
      <c r="E24" s="44"/>
      <c r="F24" s="45"/>
    </row>
    <row r="25" spans="1:6" ht="16.95" customHeight="1" x14ac:dyDescent="0.2">
      <c r="A25" s="20" t="s">
        <v>206</v>
      </c>
      <c r="B25" s="37">
        <v>2.16</v>
      </c>
      <c r="C25" s="46" t="s">
        <v>205</v>
      </c>
      <c r="D25" s="44"/>
      <c r="E25" s="44"/>
      <c r="F25" s="45"/>
    </row>
    <row r="26" spans="1:6" ht="16.95" customHeight="1" x14ac:dyDescent="0.2">
      <c r="A26" s="20" t="s">
        <v>207</v>
      </c>
      <c r="B26" s="37">
        <v>2.87</v>
      </c>
      <c r="C26" s="46" t="s">
        <v>205</v>
      </c>
      <c r="D26" s="44"/>
      <c r="E26" s="44"/>
      <c r="F26" s="45"/>
    </row>
    <row r="27" spans="1:6" ht="16.95" customHeight="1" x14ac:dyDescent="0.2">
      <c r="A27" s="20" t="s">
        <v>208</v>
      </c>
      <c r="B27" s="37">
        <v>23.42</v>
      </c>
      <c r="C27" s="46" t="s">
        <v>205</v>
      </c>
      <c r="D27" s="44"/>
      <c r="E27" s="44"/>
      <c r="F27" s="45"/>
    </row>
    <row r="29" spans="1:6" ht="19.95" customHeight="1" x14ac:dyDescent="0.2">
      <c r="A29" s="48" t="s">
        <v>209</v>
      </c>
      <c r="B29" s="44"/>
      <c r="C29" s="44"/>
      <c r="D29" s="44"/>
      <c r="E29" s="44"/>
      <c r="F29" s="45"/>
    </row>
    <row r="30" spans="1:6" ht="24" customHeight="1" x14ac:dyDescent="0.2">
      <c r="A30" s="19" t="s">
        <v>197</v>
      </c>
      <c r="B30" s="19" t="s">
        <v>210</v>
      </c>
      <c r="C30" s="19" t="s">
        <v>211</v>
      </c>
      <c r="D30" s="19" t="s">
        <v>212</v>
      </c>
      <c r="E30" s="19" t="s">
        <v>213</v>
      </c>
      <c r="F30" s="19"/>
    </row>
    <row r="31" spans="1:6" ht="18" customHeight="1" x14ac:dyDescent="0.2">
      <c r="A31" s="38" t="s">
        <v>214</v>
      </c>
      <c r="B31" s="21"/>
      <c r="C31" s="34">
        <f>IFERROR(B10+B7*B22,"")</f>
        <v>-89673</v>
      </c>
      <c r="D31" s="34">
        <f>IFERROR(C31-B17,"")</f>
        <v>-146012</v>
      </c>
      <c r="E31" s="46" t="s">
        <v>215</v>
      </c>
      <c r="F31" s="45"/>
    </row>
    <row r="32" spans="1:6" ht="18" customHeight="1" x14ac:dyDescent="0.2">
      <c r="A32" s="38" t="s">
        <v>216</v>
      </c>
      <c r="B32" s="21"/>
      <c r="C32" s="34">
        <f>IFERROR(B10+B7*B23,"")</f>
        <v>-154499</v>
      </c>
      <c r="D32" s="34">
        <f>IFERROR(C32-B17,"")</f>
        <v>-210838</v>
      </c>
      <c r="E32" s="46" t="s">
        <v>217</v>
      </c>
      <c r="F32" s="45"/>
    </row>
    <row r="33" spans="1:6" ht="18" customHeight="1" x14ac:dyDescent="0.2">
      <c r="A33" s="38" t="s">
        <v>218</v>
      </c>
      <c r="B33" s="21"/>
      <c r="C33" s="34">
        <f>IFERROR(B16*B24,"")</f>
        <v>-383586.23</v>
      </c>
      <c r="D33" s="34">
        <f>IFERROR(C33-B17,"")</f>
        <v>-439925.23</v>
      </c>
      <c r="E33" s="46" t="s">
        <v>219</v>
      </c>
      <c r="F33" s="45"/>
    </row>
    <row r="34" spans="1:6" ht="18" customHeight="1" x14ac:dyDescent="0.2">
      <c r="A34" s="38" t="s">
        <v>220</v>
      </c>
      <c r="B34" s="21"/>
      <c r="C34" s="34">
        <f>IFERROR(B4*B25,"")</f>
        <v>66782.880000000005</v>
      </c>
      <c r="D34" s="34">
        <f>IFERROR(C34-B17,"")</f>
        <v>10443.880000000005</v>
      </c>
      <c r="E34" s="46" t="s">
        <v>221</v>
      </c>
      <c r="F34" s="45"/>
    </row>
    <row r="35" spans="1:6" ht="18" customHeight="1" x14ac:dyDescent="0.2">
      <c r="A35" s="38" t="s">
        <v>222</v>
      </c>
      <c r="B35" s="21"/>
      <c r="C35" s="34">
        <f>IFERROR(D35+B17,"")</f>
        <v>-14971.89</v>
      </c>
      <c r="D35" s="34">
        <f>IFERROR(B10*B26,"")</f>
        <v>-71310.89</v>
      </c>
      <c r="E35" s="46" t="s">
        <v>223</v>
      </c>
      <c r="F35" s="45"/>
    </row>
    <row r="36" spans="1:6" ht="18" customHeight="1" x14ac:dyDescent="0.2">
      <c r="A36" s="38" t="s">
        <v>224</v>
      </c>
      <c r="B36" s="21"/>
      <c r="C36" s="34" t="str">
        <f>IFERROR(IF(B8&gt;0,B8*B27+B17,"赤字のため算定不可"),"")</f>
        <v>赤字のため算定不可</v>
      </c>
      <c r="D36" s="34" t="str">
        <f>IFERROR(C36-B17,"")</f>
        <v/>
      </c>
      <c r="E36" s="46" t="s">
        <v>225</v>
      </c>
      <c r="F36" s="45"/>
    </row>
    <row r="37" spans="1:6" ht="18" customHeight="1" x14ac:dyDescent="0.2">
      <c r="A37" s="38" t="s">
        <v>226</v>
      </c>
      <c r="B37" s="21"/>
      <c r="C37" s="34">
        <f>IFERROR(B11-B12,"")</f>
        <v>-24848</v>
      </c>
      <c r="D37" s="34">
        <f>IFERROR(B10,"")</f>
        <v>-24847</v>
      </c>
      <c r="E37" s="46" t="s">
        <v>227</v>
      </c>
      <c r="F37" s="45"/>
    </row>
    <row r="39" spans="1:6" ht="19.95" customHeight="1" x14ac:dyDescent="0.2">
      <c r="A39" s="48" t="s">
        <v>228</v>
      </c>
      <c r="B39" s="44"/>
      <c r="C39" s="44"/>
      <c r="D39" s="44"/>
      <c r="E39" s="44"/>
      <c r="F39" s="45"/>
    </row>
    <row r="40" spans="1:6" ht="22.05" customHeight="1" x14ac:dyDescent="0.2">
      <c r="A40" s="19" t="s">
        <v>229</v>
      </c>
      <c r="B40" s="19" t="s">
        <v>230</v>
      </c>
      <c r="C40" s="19" t="s">
        <v>231</v>
      </c>
      <c r="D40" s="19" t="s">
        <v>232</v>
      </c>
      <c r="E40" s="19" t="s">
        <v>233</v>
      </c>
      <c r="F40" s="19" t="s">
        <v>234</v>
      </c>
    </row>
    <row r="41" spans="1:6" ht="16.95" customHeight="1" x14ac:dyDescent="0.2">
      <c r="A41" s="32" t="s">
        <v>235</v>
      </c>
      <c r="B41" s="33">
        <f>IFERROR(MIN(D31,D32,D33,D34,D35,D37),"")</f>
        <v>-439925.23</v>
      </c>
      <c r="C41" s="46" t="s">
        <v>236</v>
      </c>
      <c r="D41" s="47"/>
      <c r="E41" s="47"/>
      <c r="F41" s="47"/>
    </row>
    <row r="42" spans="1:6" ht="16.95" customHeight="1" x14ac:dyDescent="0.2">
      <c r="A42" s="32" t="s">
        <v>237</v>
      </c>
      <c r="B42" s="33">
        <f>IFERROR(MAX(D31,D32,D33,D34,D35,D37),"")</f>
        <v>10443.880000000005</v>
      </c>
      <c r="C42" s="46" t="s">
        <v>238</v>
      </c>
      <c r="D42" s="47"/>
      <c r="E42" s="47"/>
      <c r="F42" s="47"/>
    </row>
    <row r="43" spans="1:6" ht="22.05" customHeight="1" x14ac:dyDescent="0.2">
      <c r="A43" s="15" t="s">
        <v>239</v>
      </c>
      <c r="B43" s="50" t="str">
        <f>IFERROR(TEXT(B41,"#,##0")&amp;" 〜 "&amp;TEXT(B42,"#,##0")&amp;" 千円","データ不足")</f>
        <v>-439,925 〜 10,444 千円</v>
      </c>
      <c r="C43" s="44"/>
      <c r="D43" s="44"/>
      <c r="E43" s="44"/>
      <c r="F43" s="45"/>
    </row>
    <row r="45" spans="1:6" ht="79.95" customHeight="1" x14ac:dyDescent="0.2">
      <c r="A45" s="52" t="s">
        <v>240</v>
      </c>
      <c r="B45" s="44"/>
      <c r="C45" s="44"/>
      <c r="D45" s="44"/>
      <c r="E45" s="44"/>
      <c r="F45" s="45"/>
    </row>
  </sheetData>
  <mergeCells count="38">
    <mergeCell ref="C10:F10"/>
    <mergeCell ref="C41:F41"/>
    <mergeCell ref="A3:F3"/>
    <mergeCell ref="C13:F13"/>
    <mergeCell ref="A2:F2"/>
    <mergeCell ref="C18:F18"/>
    <mergeCell ref="E35:F35"/>
    <mergeCell ref="C4:F4"/>
    <mergeCell ref="C17:F17"/>
    <mergeCell ref="C23:F23"/>
    <mergeCell ref="C8:F8"/>
    <mergeCell ref="E33:F33"/>
    <mergeCell ref="C7:F7"/>
    <mergeCell ref="C42:F42"/>
    <mergeCell ref="A29:F29"/>
    <mergeCell ref="C14:F14"/>
    <mergeCell ref="E31:F31"/>
    <mergeCell ref="E34:F34"/>
    <mergeCell ref="C26:F26"/>
    <mergeCell ref="C16:F16"/>
    <mergeCell ref="E36:F36"/>
    <mergeCell ref="C25:F25"/>
    <mergeCell ref="A1:F1"/>
    <mergeCell ref="C12:F12"/>
    <mergeCell ref="A45:F45"/>
    <mergeCell ref="E37:F37"/>
    <mergeCell ref="C11:F11"/>
    <mergeCell ref="C27:F27"/>
    <mergeCell ref="A39:F39"/>
    <mergeCell ref="A15:F15"/>
    <mergeCell ref="C22:F22"/>
    <mergeCell ref="C9:F9"/>
    <mergeCell ref="E32:F32"/>
    <mergeCell ref="B43:F43"/>
    <mergeCell ref="C6:F6"/>
    <mergeCell ref="A20:F20"/>
    <mergeCell ref="C5:F5"/>
    <mergeCell ref="C24:F24"/>
  </mergeCells>
  <phoneticPr fontId="20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1"/>
  <sheetViews>
    <sheetView workbookViewId="0">
      <pane ySplit="3" topLeftCell="A4" activePane="bottomLeft" state="frozen"/>
      <selection pane="bottomLeft" sqref="A1:F1"/>
    </sheetView>
  </sheetViews>
  <sheetFormatPr defaultRowHeight="13.2" x14ac:dyDescent="0.2"/>
  <cols>
    <col min="1" max="1" width="30" customWidth="1"/>
    <col min="2" max="2" width="25" customWidth="1"/>
    <col min="3" max="3" width="20" customWidth="1"/>
    <col min="4" max="6" width="16" customWidth="1"/>
  </cols>
  <sheetData>
    <row r="1" spans="1:6" ht="28.05" customHeight="1" x14ac:dyDescent="0.2">
      <c r="A1" s="43" t="s">
        <v>241</v>
      </c>
      <c r="B1" s="44"/>
      <c r="C1" s="44"/>
      <c r="D1" s="44"/>
      <c r="E1" s="44"/>
      <c r="F1" s="45"/>
    </row>
    <row r="2" spans="1:6" ht="13.95" customHeight="1" x14ac:dyDescent="0.2">
      <c r="A2" s="49" t="s">
        <v>242</v>
      </c>
      <c r="B2" s="47"/>
      <c r="C2" s="47"/>
      <c r="D2" s="47"/>
      <c r="E2" s="47"/>
      <c r="F2" s="47"/>
    </row>
    <row r="3" spans="1:6" ht="19.95" customHeight="1" x14ac:dyDescent="0.2">
      <c r="A3" s="48" t="s">
        <v>243</v>
      </c>
      <c r="B3" s="44"/>
      <c r="C3" s="44"/>
      <c r="D3" s="44"/>
      <c r="E3" s="44"/>
      <c r="F3" s="45"/>
    </row>
    <row r="4" spans="1:6" ht="22.05" customHeight="1" x14ac:dyDescent="0.2">
      <c r="A4" s="19" t="s">
        <v>244</v>
      </c>
      <c r="B4" s="19" t="s">
        <v>245</v>
      </c>
      <c r="C4" s="19" t="s">
        <v>246</v>
      </c>
      <c r="D4" s="51" t="s">
        <v>247</v>
      </c>
      <c r="E4" s="44"/>
      <c r="F4" s="45"/>
    </row>
    <row r="5" spans="1:6" ht="18" customHeight="1" x14ac:dyDescent="0.2">
      <c r="A5" s="20" t="s">
        <v>248</v>
      </c>
      <c r="B5" s="21" t="s">
        <v>249</v>
      </c>
      <c r="C5" s="39"/>
      <c r="D5" s="46" t="s">
        <v>250</v>
      </c>
      <c r="E5" s="44"/>
      <c r="F5" s="45"/>
    </row>
    <row r="6" spans="1:6" ht="18" customHeight="1" x14ac:dyDescent="0.2">
      <c r="A6" s="20" t="s">
        <v>251</v>
      </c>
      <c r="B6" s="21" t="s">
        <v>252</v>
      </c>
      <c r="C6" s="39"/>
      <c r="D6" s="46" t="s">
        <v>250</v>
      </c>
      <c r="E6" s="44"/>
      <c r="F6" s="45"/>
    </row>
    <row r="7" spans="1:6" ht="18" customHeight="1" x14ac:dyDescent="0.2">
      <c r="A7" s="20" t="s">
        <v>253</v>
      </c>
      <c r="B7" s="21" t="s">
        <v>254</v>
      </c>
      <c r="C7" s="39"/>
      <c r="D7" s="46" t="s">
        <v>250</v>
      </c>
      <c r="E7" s="44"/>
      <c r="F7" s="45"/>
    </row>
    <row r="8" spans="1:6" ht="18" customHeight="1" x14ac:dyDescent="0.2">
      <c r="A8" s="20" t="s">
        <v>255</v>
      </c>
      <c r="B8" s="21" t="s">
        <v>256</v>
      </c>
      <c r="C8" s="39"/>
      <c r="D8" s="46" t="s">
        <v>257</v>
      </c>
      <c r="E8" s="44"/>
      <c r="F8" s="45"/>
    </row>
    <row r="9" spans="1:6" ht="18" customHeight="1" x14ac:dyDescent="0.2">
      <c r="A9" s="20" t="s">
        <v>258</v>
      </c>
      <c r="B9" s="21" t="s">
        <v>259</v>
      </c>
      <c r="C9" s="39"/>
      <c r="D9" s="46" t="s">
        <v>260</v>
      </c>
      <c r="E9" s="44"/>
      <c r="F9" s="45"/>
    </row>
    <row r="10" spans="1:6" ht="18" customHeight="1" x14ac:dyDescent="0.2">
      <c r="A10" s="20" t="s">
        <v>261</v>
      </c>
      <c r="B10" s="21" t="s">
        <v>262</v>
      </c>
      <c r="C10" s="39"/>
      <c r="D10" s="46" t="s">
        <v>250</v>
      </c>
      <c r="E10" s="44"/>
      <c r="F10" s="45"/>
    </row>
    <row r="11" spans="1:6" ht="18" customHeight="1" x14ac:dyDescent="0.2">
      <c r="A11" s="20" t="s">
        <v>263</v>
      </c>
      <c r="B11" s="21" t="s">
        <v>264</v>
      </c>
      <c r="C11" s="39"/>
      <c r="D11" s="46" t="s">
        <v>265</v>
      </c>
      <c r="E11" s="44"/>
      <c r="F11" s="45"/>
    </row>
    <row r="12" spans="1:6" ht="18" customHeight="1" x14ac:dyDescent="0.2">
      <c r="A12" s="20" t="s">
        <v>266</v>
      </c>
      <c r="B12" s="21" t="s">
        <v>267</v>
      </c>
      <c r="C12" s="39"/>
      <c r="D12" s="46" t="s">
        <v>268</v>
      </c>
      <c r="E12" s="44"/>
      <c r="F12" s="45"/>
    </row>
    <row r="13" spans="1:6" ht="18" customHeight="1" x14ac:dyDescent="0.2">
      <c r="A13" s="20" t="s">
        <v>269</v>
      </c>
      <c r="B13" s="21" t="s">
        <v>270</v>
      </c>
      <c r="C13" s="39"/>
      <c r="D13" s="46" t="s">
        <v>271</v>
      </c>
      <c r="E13" s="44"/>
      <c r="F13" s="45"/>
    </row>
    <row r="14" spans="1:6" ht="18" customHeight="1" x14ac:dyDescent="0.2">
      <c r="A14" s="20" t="s">
        <v>272</v>
      </c>
      <c r="B14" s="21" t="s">
        <v>273</v>
      </c>
      <c r="C14" s="39"/>
      <c r="D14" s="46" t="s">
        <v>268</v>
      </c>
      <c r="E14" s="44"/>
      <c r="F14" s="45"/>
    </row>
    <row r="16" spans="1:6" ht="19.95" customHeight="1" x14ac:dyDescent="0.2">
      <c r="A16" s="48" t="s">
        <v>274</v>
      </c>
      <c r="B16" s="44"/>
      <c r="C16" s="44"/>
      <c r="D16" s="44"/>
      <c r="E16" s="44"/>
      <c r="F16" s="45"/>
    </row>
    <row r="17" spans="1:6" ht="16.95" customHeight="1" x14ac:dyDescent="0.2">
      <c r="A17" s="20" t="s">
        <v>275</v>
      </c>
      <c r="B17" s="40"/>
      <c r="C17" s="41">
        <f>IFERROR('企業価値算定（修正前）'!B7,0)</f>
        <v>-32413</v>
      </c>
    </row>
    <row r="18" spans="1:6" ht="16.95" customHeight="1" x14ac:dyDescent="0.2">
      <c r="A18" s="32" t="s">
        <v>276</v>
      </c>
      <c r="B18" s="40"/>
      <c r="C18" s="33">
        <f>IFERROR(C5,0)+IFERROR(C6,0)+IFERROR(C7,0)+IFERROR(C8,0)+IFERROR(C9,0)+IFERROR(C10,0)</f>
        <v>0</v>
      </c>
    </row>
    <row r="19" spans="1:6" ht="16.95" customHeight="1" x14ac:dyDescent="0.2">
      <c r="A19" s="15" t="s">
        <v>277</v>
      </c>
      <c r="B19" s="40"/>
      <c r="C19" s="34">
        <f>C17+C18</f>
        <v>-32413</v>
      </c>
    </row>
    <row r="20" spans="1:6" ht="16.95" customHeight="1" x14ac:dyDescent="0.2">
      <c r="A20" s="20" t="s">
        <v>278</v>
      </c>
      <c r="B20" s="40"/>
      <c r="C20" s="41">
        <f>IFERROR('企業価値算定（修正前）'!B10,0)</f>
        <v>-24847</v>
      </c>
    </row>
    <row r="21" spans="1:6" ht="16.95" customHeight="1" x14ac:dyDescent="0.2">
      <c r="A21" s="32" t="s">
        <v>279</v>
      </c>
      <c r="B21" s="40"/>
      <c r="C21" s="33">
        <f>IFERROR(C11,0)+IFERROR(C12,0)+IFERROR(C13,0)+IFERROR(C14,0)</f>
        <v>0</v>
      </c>
    </row>
    <row r="22" spans="1:6" ht="16.95" customHeight="1" x14ac:dyDescent="0.2">
      <c r="A22" s="15" t="s">
        <v>280</v>
      </c>
      <c r="B22" s="40"/>
      <c r="C22" s="34">
        <f>C20+C21</f>
        <v>-24847</v>
      </c>
    </row>
    <row r="23" spans="1:6" ht="16.95" customHeight="1" x14ac:dyDescent="0.2">
      <c r="A23" s="15" t="s">
        <v>281</v>
      </c>
      <c r="B23" s="40"/>
      <c r="C23" s="34">
        <f>C19+IFERROR('企業価値算定（修正前）'!B9,0)</f>
        <v>-28614</v>
      </c>
    </row>
    <row r="24" spans="1:6" ht="16.95" customHeight="1" x14ac:dyDescent="0.2">
      <c r="A24" s="32" t="s">
        <v>192</v>
      </c>
      <c r="B24" s="40"/>
      <c r="C24" s="33">
        <f>IFERROR('企業価値算定（修正前）'!B17,0)</f>
        <v>56339</v>
      </c>
    </row>
    <row r="26" spans="1:6" ht="19.95" customHeight="1" x14ac:dyDescent="0.2">
      <c r="A26" s="48" t="s">
        <v>282</v>
      </c>
      <c r="B26" s="44"/>
      <c r="C26" s="44"/>
      <c r="D26" s="44"/>
      <c r="E26" s="44"/>
      <c r="F26" s="45"/>
    </row>
    <row r="27" spans="1:6" ht="24" customHeight="1" x14ac:dyDescent="0.2">
      <c r="A27" s="19" t="s">
        <v>197</v>
      </c>
      <c r="B27" s="19" t="s">
        <v>210</v>
      </c>
      <c r="C27" s="19" t="s">
        <v>211</v>
      </c>
      <c r="D27" s="19" t="s">
        <v>212</v>
      </c>
      <c r="E27" s="19" t="s">
        <v>283</v>
      </c>
      <c r="F27" s="19"/>
    </row>
    <row r="28" spans="1:6" ht="18" customHeight="1" x14ac:dyDescent="0.2">
      <c r="A28" s="38" t="s">
        <v>214</v>
      </c>
      <c r="B28" s="21"/>
      <c r="C28" s="34">
        <f>IFERROR(C22+C19*IFERROR('企業価値算定（修正前）'!B22,0),"")</f>
        <v>-89673</v>
      </c>
      <c r="D28" s="34">
        <f>IFERROR(C28-C24,"")</f>
        <v>-146012</v>
      </c>
      <c r="E28" s="42">
        <f>IFERROR(D28-'企業価値算定（修正前）'!D31,"")</f>
        <v>0</v>
      </c>
      <c r="F28" s="21" t="s">
        <v>284</v>
      </c>
    </row>
    <row r="29" spans="1:6" ht="18" customHeight="1" x14ac:dyDescent="0.2">
      <c r="A29" s="38" t="s">
        <v>216</v>
      </c>
      <c r="B29" s="21"/>
      <c r="C29" s="34">
        <f>IFERROR(C22+C19*IFERROR('企業価値算定（修正前）'!B23,0),"")</f>
        <v>-154499</v>
      </c>
      <c r="D29" s="34">
        <f>IFERROR(C29-C24,"")</f>
        <v>-210838</v>
      </c>
      <c r="E29" s="42">
        <f>IFERROR(D29-'企業価値算定（修正前）'!D32,"")</f>
        <v>0</v>
      </c>
      <c r="F29" s="21" t="s">
        <v>285</v>
      </c>
    </row>
    <row r="30" spans="1:6" ht="18" customHeight="1" x14ac:dyDescent="0.2">
      <c r="A30" s="38" t="s">
        <v>218</v>
      </c>
      <c r="B30" s="21"/>
      <c r="C30" s="34">
        <f>IFERROR(C23*IFERROR('企業価値算定（修正前）'!B24,0),"")</f>
        <v>-348232.38</v>
      </c>
      <c r="D30" s="34">
        <f>IFERROR(C30-C24,"")</f>
        <v>-404571.38</v>
      </c>
      <c r="E30" s="42">
        <f>IFERROR(D30-'企業価値算定（修正前）'!D33,"")</f>
        <v>35353.849999999977</v>
      </c>
      <c r="F30" s="21" t="s">
        <v>286</v>
      </c>
    </row>
    <row r="31" spans="1:6" ht="18" customHeight="1" x14ac:dyDescent="0.2">
      <c r="A31" s="38" t="s">
        <v>220</v>
      </c>
      <c r="B31" s="21"/>
      <c r="C31" s="34">
        <f>IFERROR('企業価値算定（修正前）'!B4*IFERROR('企業価値算定（修正前）'!B25,0),"")</f>
        <v>66782.880000000005</v>
      </c>
      <c r="D31" s="34">
        <f>IFERROR(C31-C24,"")</f>
        <v>10443.880000000005</v>
      </c>
      <c r="E31" s="42">
        <f>IFERROR(D31-'企業価値算定（修正前）'!D34,"")</f>
        <v>0</v>
      </c>
      <c r="F31" s="21" t="s">
        <v>287</v>
      </c>
    </row>
    <row r="32" spans="1:6" ht="18" customHeight="1" x14ac:dyDescent="0.2">
      <c r="A32" s="38" t="s">
        <v>222</v>
      </c>
      <c r="B32" s="21"/>
      <c r="C32" s="34">
        <f>IFERROR(D32+C24,"")</f>
        <v>-14971.89</v>
      </c>
      <c r="D32" s="34">
        <f>IFERROR(C22*IFERROR('企業価値算定（修正前）'!B26,0),"")</f>
        <v>-71310.89</v>
      </c>
      <c r="E32" s="42">
        <f>IFERROR(D32-'企業価値算定（修正前）'!D35,"")</f>
        <v>0</v>
      </c>
      <c r="F32" s="21" t="s">
        <v>288</v>
      </c>
    </row>
    <row r="33" spans="1:6" ht="18" customHeight="1" x14ac:dyDescent="0.2">
      <c r="A33" s="38" t="s">
        <v>289</v>
      </c>
      <c r="B33" s="21"/>
      <c r="C33" s="34">
        <f>IFERROR(C22+C24,"")</f>
        <v>31492</v>
      </c>
      <c r="D33" s="34">
        <f>IFERROR(C22,"")</f>
        <v>-24847</v>
      </c>
      <c r="E33" s="42">
        <f>IFERROR(D33-'企業価値算定（修正前）'!D37,"")</f>
        <v>0</v>
      </c>
      <c r="F33" s="21" t="s">
        <v>290</v>
      </c>
    </row>
    <row r="35" spans="1:6" ht="19.95" customHeight="1" x14ac:dyDescent="0.2">
      <c r="A35" s="48" t="s">
        <v>291</v>
      </c>
      <c r="B35" s="44"/>
      <c r="C35" s="44"/>
      <c r="D35" s="44"/>
      <c r="E35" s="44"/>
      <c r="F35" s="45"/>
    </row>
    <row r="36" spans="1:6" ht="22.05" customHeight="1" x14ac:dyDescent="0.2">
      <c r="A36" s="19" t="s">
        <v>229</v>
      </c>
      <c r="B36" s="19" t="s">
        <v>292</v>
      </c>
      <c r="C36" s="19" t="s">
        <v>293</v>
      </c>
      <c r="D36" s="19" t="s">
        <v>294</v>
      </c>
      <c r="E36" s="19"/>
      <c r="F36" s="19"/>
    </row>
    <row r="37" spans="1:6" ht="16.95" customHeight="1" x14ac:dyDescent="0.2">
      <c r="A37" s="32" t="s">
        <v>235</v>
      </c>
      <c r="B37" s="33">
        <f>IFERROR(MIN(D28,D29,D30,D31,D32,D33),"")</f>
        <v>-404571.38</v>
      </c>
      <c r="C37" s="42">
        <f>IFERROR(MIN('企業価値算定（修正前）'!D31,'企業価値算定（修正前）'!D32,'企業価値算定（修正前）'!D33,'企業価値算定（修正前）'!D34,'企業価値算定（修正前）'!D35,'企業価値算定（修正前）'!D37),"")</f>
        <v>-439925.23</v>
      </c>
      <c r="D37" s="42">
        <f>IFERROR(B37-C37,"")</f>
        <v>35353.849999999977</v>
      </c>
      <c r="E37" s="46" t="s">
        <v>236</v>
      </c>
      <c r="F37" s="47"/>
    </row>
    <row r="38" spans="1:6" ht="16.95" customHeight="1" x14ac:dyDescent="0.2">
      <c r="A38" s="32" t="s">
        <v>237</v>
      </c>
      <c r="B38" s="33">
        <f>IFERROR(MAX(D28,D29,D30,D31,D32,D33),"")</f>
        <v>10443.880000000005</v>
      </c>
      <c r="C38" s="42">
        <f>IFERROR(MAX('企業価値算定（修正前）'!D31,'企業価値算定（修正前）'!D32,'企業価値算定（修正前）'!D33,'企業価値算定（修正前）'!D34,'企業価値算定（修正前）'!D35,'企業価値算定（修正前）'!D37),"")</f>
        <v>10443.880000000005</v>
      </c>
      <c r="D38" s="42">
        <f>IFERROR(B38-C38,"")</f>
        <v>0</v>
      </c>
      <c r="E38" s="46" t="s">
        <v>238</v>
      </c>
      <c r="F38" s="47"/>
    </row>
    <row r="39" spans="1:6" ht="24" customHeight="1" x14ac:dyDescent="0.2">
      <c r="A39" s="15" t="s">
        <v>295</v>
      </c>
      <c r="B39" s="50" t="str">
        <f>IFERROR(TEXT(B37,"#,##0")&amp;" 〜 "&amp;TEXT(B38,"#,##0")&amp;" 千円","データ不足")</f>
        <v>-404,571 〜 10,444 千円</v>
      </c>
      <c r="C39" s="44"/>
      <c r="D39" s="44"/>
      <c r="E39" s="44"/>
      <c r="F39" s="45"/>
    </row>
    <row r="41" spans="1:6" ht="79.95" customHeight="1" x14ac:dyDescent="0.2">
      <c r="A41" s="52" t="s">
        <v>296</v>
      </c>
      <c r="B41" s="44"/>
      <c r="C41" s="44"/>
      <c r="D41" s="44"/>
      <c r="E41" s="44"/>
      <c r="F41" s="45"/>
    </row>
  </sheetData>
  <mergeCells count="21">
    <mergeCell ref="A41:F41"/>
    <mergeCell ref="A16:F16"/>
    <mergeCell ref="D11:F11"/>
    <mergeCell ref="D13:F13"/>
    <mergeCell ref="D7:F7"/>
    <mergeCell ref="A26:F26"/>
    <mergeCell ref="B39:F39"/>
    <mergeCell ref="E38:F38"/>
    <mergeCell ref="D4:F4"/>
    <mergeCell ref="D12:F12"/>
    <mergeCell ref="D9:F9"/>
    <mergeCell ref="A35:F35"/>
    <mergeCell ref="D8:F8"/>
    <mergeCell ref="D14:F14"/>
    <mergeCell ref="D5:F5"/>
    <mergeCell ref="D10:F10"/>
    <mergeCell ref="A1:F1"/>
    <mergeCell ref="E37:F37"/>
    <mergeCell ref="D6:F6"/>
    <mergeCell ref="A3:F3"/>
    <mergeCell ref="A2:F2"/>
  </mergeCells>
  <phoneticPr fontId="20"/>
  <conditionalFormatting sqref="E28:E38">
    <cfRule type="expression" dxfId="1" priority="1">
      <formula>E28&gt;0</formula>
    </cfRule>
    <cfRule type="expression" dxfId="0" priority="2">
      <formula>E28&lt;0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9"/>
  <sheetViews>
    <sheetView workbookViewId="0"/>
  </sheetViews>
  <sheetFormatPr defaultRowHeight="13.2" x14ac:dyDescent="0.2"/>
  <sheetData>
    <row r="1" spans="1:15" x14ac:dyDescent="0.2">
      <c r="A1" t="s">
        <v>297</v>
      </c>
      <c r="B1" t="s">
        <v>147</v>
      </c>
      <c r="C1" t="s">
        <v>149</v>
      </c>
      <c r="D1" t="s">
        <v>151</v>
      </c>
      <c r="E1" t="s">
        <v>153</v>
      </c>
      <c r="F1" t="s">
        <v>158</v>
      </c>
      <c r="G1" t="s">
        <v>160</v>
      </c>
      <c r="H1" t="s">
        <v>162</v>
      </c>
      <c r="I1" t="s">
        <v>155</v>
      </c>
      <c r="J1" t="s">
        <v>164</v>
      </c>
      <c r="K1" t="s">
        <v>166</v>
      </c>
      <c r="L1" t="s">
        <v>233</v>
      </c>
      <c r="M1" t="s">
        <v>234</v>
      </c>
      <c r="N1" t="s">
        <v>298</v>
      </c>
      <c r="O1" t="s">
        <v>299</v>
      </c>
    </row>
    <row r="2" spans="1:15" x14ac:dyDescent="0.2">
      <c r="A2" t="s">
        <v>130</v>
      </c>
      <c r="B2">
        <v>0.65</v>
      </c>
      <c r="C2">
        <v>0.08</v>
      </c>
      <c r="D2">
        <v>0.09</v>
      </c>
      <c r="E2">
        <v>0.06</v>
      </c>
      <c r="F2">
        <v>0.45</v>
      </c>
      <c r="G2">
        <v>1.6</v>
      </c>
      <c r="H2">
        <v>0.4</v>
      </c>
      <c r="I2">
        <v>0.45</v>
      </c>
      <c r="J2">
        <v>0.06</v>
      </c>
      <c r="K2">
        <v>0.12</v>
      </c>
      <c r="L2">
        <v>12</v>
      </c>
      <c r="M2">
        <v>2.5</v>
      </c>
      <c r="N2">
        <v>2.87</v>
      </c>
      <c r="O2">
        <v>23.42</v>
      </c>
    </row>
    <row r="3" spans="1:15" x14ac:dyDescent="0.2">
      <c r="A3" t="s">
        <v>300</v>
      </c>
      <c r="B3">
        <v>0.6</v>
      </c>
      <c r="C3">
        <v>0.05</v>
      </c>
      <c r="D3">
        <v>0.06</v>
      </c>
      <c r="E3">
        <v>0.04</v>
      </c>
      <c r="F3">
        <v>0.35</v>
      </c>
      <c r="G3">
        <v>1.4</v>
      </c>
      <c r="H3">
        <v>0.6</v>
      </c>
      <c r="I3">
        <v>0.4</v>
      </c>
      <c r="J3">
        <v>0.04</v>
      </c>
      <c r="K3">
        <v>0.1</v>
      </c>
      <c r="L3">
        <v>8</v>
      </c>
      <c r="M3">
        <v>1.5</v>
      </c>
      <c r="N3">
        <v>1.5</v>
      </c>
      <c r="O3">
        <v>15</v>
      </c>
    </row>
    <row r="4" spans="1:15" x14ac:dyDescent="0.2">
      <c r="A4" t="s">
        <v>301</v>
      </c>
      <c r="B4">
        <v>0.25</v>
      </c>
      <c r="C4">
        <v>0.03</v>
      </c>
      <c r="D4">
        <v>0.04</v>
      </c>
      <c r="E4">
        <v>0.02</v>
      </c>
      <c r="F4">
        <v>0.4</v>
      </c>
      <c r="G4">
        <v>1.3</v>
      </c>
      <c r="H4">
        <v>0.9</v>
      </c>
      <c r="I4">
        <v>0.18</v>
      </c>
      <c r="J4">
        <v>0.03</v>
      </c>
      <c r="K4">
        <v>7.0000000000000007E-2</v>
      </c>
      <c r="L4">
        <v>7</v>
      </c>
      <c r="M4">
        <v>0.8</v>
      </c>
      <c r="N4">
        <v>1.2</v>
      </c>
      <c r="O4">
        <v>12</v>
      </c>
    </row>
    <row r="5" spans="1:15" x14ac:dyDescent="0.2">
      <c r="A5" t="s">
        <v>302</v>
      </c>
      <c r="B5">
        <v>0.2</v>
      </c>
      <c r="C5">
        <v>0.02</v>
      </c>
      <c r="D5">
        <v>0.03</v>
      </c>
      <c r="E5">
        <v>0.02</v>
      </c>
      <c r="F5">
        <v>0.35</v>
      </c>
      <c r="G5">
        <v>1.2</v>
      </c>
      <c r="H5">
        <v>0.6</v>
      </c>
      <c r="I5">
        <v>0.1</v>
      </c>
      <c r="J5">
        <v>0.02</v>
      </c>
      <c r="K5">
        <v>0.06</v>
      </c>
      <c r="L5">
        <v>6</v>
      </c>
      <c r="M5">
        <v>0.3</v>
      </c>
      <c r="N5">
        <v>1</v>
      </c>
      <c r="O5">
        <v>10</v>
      </c>
    </row>
    <row r="6" spans="1:15" x14ac:dyDescent="0.2">
      <c r="A6" t="s">
        <v>303</v>
      </c>
      <c r="B6">
        <v>0.3</v>
      </c>
      <c r="C6">
        <v>0.02</v>
      </c>
      <c r="D6">
        <v>0.03</v>
      </c>
      <c r="E6">
        <v>0.02</v>
      </c>
      <c r="F6">
        <v>0.3</v>
      </c>
      <c r="G6">
        <v>1.1000000000000001</v>
      </c>
      <c r="H6">
        <v>0.8</v>
      </c>
      <c r="I6">
        <v>0.15</v>
      </c>
      <c r="J6">
        <v>0.02</v>
      </c>
      <c r="K6">
        <v>7.0000000000000007E-2</v>
      </c>
      <c r="L6">
        <v>6</v>
      </c>
      <c r="M6">
        <v>0.5</v>
      </c>
      <c r="N6">
        <v>1.1000000000000001</v>
      </c>
      <c r="O6">
        <v>12</v>
      </c>
    </row>
    <row r="7" spans="1:15" x14ac:dyDescent="0.2">
      <c r="A7" t="s">
        <v>304</v>
      </c>
      <c r="B7">
        <v>0.22</v>
      </c>
      <c r="C7">
        <v>0.03</v>
      </c>
      <c r="D7">
        <v>0.04</v>
      </c>
      <c r="E7">
        <v>0.02</v>
      </c>
      <c r="F7">
        <v>0.38</v>
      </c>
      <c r="G7">
        <v>1.3</v>
      </c>
      <c r="H7">
        <v>0.6</v>
      </c>
      <c r="I7">
        <v>0.2</v>
      </c>
      <c r="J7">
        <v>0.03</v>
      </c>
      <c r="K7">
        <v>0.08</v>
      </c>
      <c r="L7">
        <v>5</v>
      </c>
      <c r="M7">
        <v>0.4</v>
      </c>
      <c r="N7">
        <v>1</v>
      </c>
      <c r="O7">
        <v>10</v>
      </c>
    </row>
    <row r="8" spans="1:15" x14ac:dyDescent="0.2">
      <c r="A8" t="s">
        <v>305</v>
      </c>
      <c r="B8">
        <v>0.65</v>
      </c>
      <c r="C8">
        <v>0.03</v>
      </c>
      <c r="D8">
        <v>0.04</v>
      </c>
      <c r="E8">
        <v>0.02</v>
      </c>
      <c r="F8">
        <v>0.15</v>
      </c>
      <c r="G8">
        <v>0.8</v>
      </c>
      <c r="H8">
        <v>1.2</v>
      </c>
      <c r="I8">
        <v>0.35</v>
      </c>
      <c r="J8">
        <v>0.02</v>
      </c>
      <c r="K8">
        <v>0.1</v>
      </c>
      <c r="L8">
        <v>5</v>
      </c>
      <c r="M8">
        <v>0.6</v>
      </c>
      <c r="N8">
        <v>1.5</v>
      </c>
      <c r="O8">
        <v>15</v>
      </c>
    </row>
    <row r="9" spans="1:15" x14ac:dyDescent="0.2">
      <c r="A9" t="s">
        <v>306</v>
      </c>
      <c r="B9">
        <v>0.55000000000000004</v>
      </c>
      <c r="C9">
        <v>0.15</v>
      </c>
      <c r="D9">
        <v>0.16</v>
      </c>
      <c r="E9">
        <v>0.1</v>
      </c>
      <c r="F9">
        <v>0.4</v>
      </c>
      <c r="G9">
        <v>1.2</v>
      </c>
      <c r="H9">
        <v>1.5</v>
      </c>
      <c r="I9">
        <v>0.1</v>
      </c>
      <c r="J9">
        <v>0.05</v>
      </c>
      <c r="K9">
        <v>0.12</v>
      </c>
      <c r="L9">
        <v>10</v>
      </c>
      <c r="M9">
        <v>2</v>
      </c>
      <c r="N9">
        <v>1.8</v>
      </c>
      <c r="O9">
        <v>18</v>
      </c>
    </row>
  </sheetData>
  <phoneticPr fontId="20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貸借対照表</vt:lpstr>
      <vt:lpstr>損益計算書</vt:lpstr>
      <vt:lpstr>販売費及び一般管理費</vt:lpstr>
      <vt:lpstr>業界平均比較・アラート</vt:lpstr>
      <vt:lpstr>企業価値算定（修正前）</vt:lpstr>
      <vt:lpstr>企業価値算定（修正後）</vt:lpstr>
      <vt:lpstr>業界データ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哲彦 末廣</cp:lastModifiedBy>
  <dcterms:created xsi:type="dcterms:W3CDTF">2026-04-28T22:33:10Z</dcterms:created>
  <dcterms:modified xsi:type="dcterms:W3CDTF">2026-05-01T06:01:29Z</dcterms:modified>
</cp:coreProperties>
</file>